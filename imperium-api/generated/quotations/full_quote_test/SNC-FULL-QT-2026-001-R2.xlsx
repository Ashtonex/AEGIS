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ation BOQ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<sst xmlns="http://schemas.openxmlformats.org/spreadsheetml/2006/main" count="52" uniqueCount="49">
  <si>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SIX NINE CONSTRUCTION (PVT) LTD</t>
  </si>
  <si>
    <t>Client: Full Documentation Test Client</t>
  </si>
  <si>
    <t>Project: Industrial Warehouse Extension</t>
  </si>
  <si>
    <t>Quotation ID: SNC-FULL-QT-2026-001 | Revision: 2</t>
  </si>
  <si>
    <t>Item No</t>
  </si>
  <si>
    <t>Description</t>
  </si>
  <si>
    <t>Unit</t>
  </si>
  <si>
    <t>Quantity</t>
  </si>
  <si>
    <t>Rate ($)</t>
  </si>
  <si>
    <t>Amount ($)</t>
  </si>
  <si>
    <t>1.0  MEASURED WORKS</t>
  </si>
  <si>
    <t>1.1</t>
  </si>
  <si>
    <t>Site establishment and setting out</t>
  </si>
  <si>
    <t>item</t>
  </si>
  <si>
    <t>1.2</t>
  </si>
  <si>
    <t>Bulk earthworks and cart-away</t>
  </si>
  <si>
    <t>m3</t>
  </si>
  <si>
    <t>1.3</t>
  </si>
  <si>
    <t>Reinforced concrete foundations</t>
  </si>
  <si>
    <t>1.4</t>
  </si>
  <si>
    <t>Structural steel supply and installation</t>
  </si>
  <si>
    <t>ton</t>
  </si>
  <si>
    <t>1.5</t>
  </si>
  <si>
    <t>Roof sheeting and flashings</t>
  </si>
  <si>
    <t>m2</t>
  </si>
  <si>
    <t>1.6</t>
  </si>
  <si>
    <t>Electrical first fix and distribution</t>
  </si>
  <si>
    <t>1.7</t>
  </si>
  <si>
    <t>Plumbing and drainage installation</t>
  </si>
  <si>
    <t>Measured Works Subtotal:</t>
  </si>
  <si>
    <t>Direct Costs:</t>
  </si>
  <si>
    <t>Preliminaries:</t>
  </si>
  <si>
    <t>Overheads:</t>
  </si>
  <si>
    <t>Contingency:</t>
  </si>
  <si>
    <t>Profit Margin:</t>
  </si>
  <si>
    <t>Provisional Sums:</t>
  </si>
  <si>
    <t>Discounts:</t>
  </si>
  <si>
    <t>ZIMRA VAT:</t>
  </si>
  <si>
    <t>GRAND TOTAL:</t>
  </si>
  <si>
    <t>Assumptions:</t>
  </si>
  <si>
    <t>• Rates assume normal working hours and unobstructed site access.</t>
  </si>
  <si>
    <t>• Client will provide approved IFC drawings before mobilisation.</t>
  </si>
  <si>
    <t>• Quotation excludes statutory authority fees unless listed separately.</t>
  </si>
  <si>
    <t>Exclusions:</t>
  </si>
  <si>
    <t>• Rock blasting and contaminated soil remediation.</t>
  </si>
  <si>
    <t>• Client-side professional fees and third-party inspections.</t>
  </si>
  <si>
    <t>• Foreign exchange variation after quote validity period.</t>
  </si>
  <si>
    <t>Audit Integrity Key:</t>
  </si>
  <si>
    <t>1b14783d1440c39dae2154cbbd478c31f910c1e063d9ce84205680ae0d879ee8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</si>
</sst>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$#,##0.00"/>
  </numFmts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F172A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E293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08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vertical="center"/>
    </xf>
    <xf numFmtId="0" fontId="6" fillId="0" borderId="0" xfId="0" applyFont="1"/>
    <xf numFmtId="0" fontId="3" fillId="5" borderId="2" xfId="0" applyFont="1" applyFill="1" applyBorder="1" applyAlignment="1">
      <alignment horizontal="right" vertical="center"/>
    </xf>
    <xf numFmtId="165" fontId="3" fillId="5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"/>
  <sheetViews>
    <sheetView tabSelected="1" workbookViewId="0"/>
  </sheetViews>
  <sheetFormatPr defaultRowHeight="15"/>
  <cols>
    <col min="1" max="1" width="12.7109375" customWidth="1"/>
    <col min="2" max="2" width="48.7109375" customWidth="1"/>
    <col min="3" max="3" width="10.7109375" customWidth="1"/>
    <col min="4" max="4" width="14.7109375" customWidth="1"/>
    <col min="5" max="5" width="16.7109375" customWidth="1"/>
    <col min="6" max="6" width="18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2" t="s">
        <v>4</v>
      </c>
      <c r="B6" s="3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 spans="1:6">
      <c r="A7" s="4" t="s">
        <v>10</v>
      </c>
      <c r="B7" s="4"/>
      <c r="C7" s="4"/>
      <c r="D7" s="4"/>
      <c r="E7" s="4"/>
      <c r="F7" s="4"/>
    </row>
    <row r="8" spans="1:6">
      <c r="A8" s="5" t="s">
        <v>11</v>
      </c>
      <c r="B8" s="6" t="s">
        <v>12</v>
      </c>
      <c r="C8" s="5" t="s">
        <v>13</v>
      </c>
      <c r="D8" s="7">
        <v>1</v>
      </c>
      <c r="E8" s="8">
        <v>2500</v>
      </c>
      <c r="F8" s="8">
        <f>D8*E8</f>
        <v>0</v>
      </c>
    </row>
    <row r="9" spans="1:6">
      <c r="A9" s="5" t="s">
        <v>14</v>
      </c>
      <c r="B9" s="6" t="s">
        <v>15</v>
      </c>
      <c r="C9" s="5" t="s">
        <v>16</v>
      </c>
      <c r="D9" s="7">
        <v>850</v>
      </c>
      <c r="E9" s="8">
        <v>12.75</v>
      </c>
      <c r="F9" s="8">
        <f>D9*E9</f>
        <v>0</v>
      </c>
    </row>
    <row r="10" spans="1:6">
      <c r="A10" s="5" t="s">
        <v>17</v>
      </c>
      <c r="B10" s="6" t="s">
        <v>18</v>
      </c>
      <c r="C10" s="5" t="s">
        <v>16</v>
      </c>
      <c r="D10" s="7">
        <v>120</v>
      </c>
      <c r="E10" s="8">
        <v>185.5</v>
      </c>
      <c r="F10" s="8">
        <f>D10*E10</f>
        <v>0</v>
      </c>
    </row>
    <row r="11" spans="1:6">
      <c r="A11" s="5" t="s">
        <v>19</v>
      </c>
      <c r="B11" s="6" t="s">
        <v>20</v>
      </c>
      <c r="C11" s="5" t="s">
        <v>21</v>
      </c>
      <c r="D11" s="7">
        <v>18</v>
      </c>
      <c r="E11" s="8">
        <v>1420</v>
      </c>
      <c r="F11" s="8">
        <f>D11*E11</f>
        <v>0</v>
      </c>
    </row>
    <row r="12" spans="1:6">
      <c r="A12" s="5" t="s">
        <v>22</v>
      </c>
      <c r="B12" s="6" t="s">
        <v>23</v>
      </c>
      <c r="C12" s="5" t="s">
        <v>24</v>
      </c>
      <c r="D12" s="7">
        <v>2200</v>
      </c>
      <c r="E12" s="8">
        <v>18.25</v>
      </c>
      <c r="F12" s="8">
        <f>D12*E12</f>
        <v>0</v>
      </c>
    </row>
    <row r="13" spans="1:6">
      <c r="A13" s="5" t="s">
        <v>25</v>
      </c>
      <c r="B13" s="6" t="s">
        <v>26</v>
      </c>
      <c r="C13" s="5" t="s">
        <v>13</v>
      </c>
      <c r="D13" s="7">
        <v>1</v>
      </c>
      <c r="E13" s="8">
        <v>18750</v>
      </c>
      <c r="F13" s="8">
        <f>D13*E13</f>
        <v>0</v>
      </c>
    </row>
    <row r="14" spans="1:6">
      <c r="A14" s="5" t="s">
        <v>27</v>
      </c>
      <c r="B14" s="6" t="s">
        <v>28</v>
      </c>
      <c r="C14" s="5" t="s">
        <v>13</v>
      </c>
      <c r="D14" s="7">
        <v>1</v>
      </c>
      <c r="E14" s="8">
        <v>14200</v>
      </c>
      <c r="F14" s="8">
        <f>D14*E14</f>
        <v>0</v>
      </c>
    </row>
    <row r="15" spans="1:6">
      <c r="E15" s="9" t="s">
        <v>29</v>
      </c>
      <c r="F15" s="10">
        <f>SUM(F8:F14)</f>
        <v>0</v>
      </c>
    </row>
    <row r="17" spans="1:6">
      <c r="E17" s="11" t="s">
        <v>30</v>
      </c>
      <c r="F17" s="8">
        <f>F15</f>
        <v>0</v>
      </c>
    </row>
    <row r="18" spans="1:6">
      <c r="E18" s="11" t="s">
        <v>31</v>
      </c>
      <c r="F18" s="8">
        <v>9500</v>
      </c>
    </row>
    <row r="19" spans="1:6">
      <c r="E19" s="11" t="s">
        <v>32</v>
      </c>
      <c r="F19" s="8">
        <v>10781.81</v>
      </c>
    </row>
    <row r="20" spans="1:6">
      <c r="E20" s="11" t="s">
        <v>33</v>
      </c>
      <c r="F20" s="8">
        <v>9344.24</v>
      </c>
    </row>
    <row r="21" spans="1:6">
      <c r="E21" s="11" t="s">
        <v>34</v>
      </c>
      <c r="F21" s="8">
        <v>17250.9</v>
      </c>
    </row>
    <row r="22" spans="1:6">
      <c r="E22" s="11" t="s">
        <v>35</v>
      </c>
      <c r="F22" s="8">
        <v>15000</v>
      </c>
    </row>
    <row r="23" spans="1:6">
      <c r="E23" s="11" t="s">
        <v>36</v>
      </c>
      <c r="F23" s="8">
        <v>2500</v>
      </c>
    </row>
    <row r="24" spans="1:6">
      <c r="E24" s="11" t="s">
        <v>37</v>
      </c>
      <c r="F24" s="8">
        <v>30013.34</v>
      </c>
    </row>
    <row r="25" spans="1:6">
      <c r="E25" s="12" t="s">
        <v>38</v>
      </c>
      <c r="F25" s="13">
        <v>223647.79</v>
      </c>
    </row>
    <row r="27" spans="1:6">
      <c r="A27" s="11" t="s">
        <v>39</v>
      </c>
    </row>
    <row r="28" spans="1:6">
      <c r="A28" t="s">
        <v>40</v>
      </c>
    </row>
    <row r="29" spans="1:6">
      <c r="A29" t="s">
        <v>41</v>
      </c>
    </row>
    <row r="30" spans="1:6">
      <c r="A30" t="s">
        <v>42</v>
      </c>
    </row>
    <row r="32" spans="1:6">
      <c r="A32" s="11" t="s">
        <v>43</v>
      </c>
    </row>
    <row r="33" spans="1:2">
      <c r="A33" t="s">
        <v>44</v>
      </c>
    </row>
    <row r="34" spans="1:2">
      <c r="A34" t="s">
        <v>45</v>
      </c>
    </row>
    <row r="35" spans="1:2">
      <c r="A35" t="s">
        <v>46</v>
      </c>
    </row>
    <row r="37" spans="1:2">
      <c r="A37" s="11" t="s">
        <v>47</v>
      </c>
      <c r="B37" t="s">
        <v>48</v>
      </c>
    </row>
  </sheetData>
  <mergeCells count="1">
    <mergeCell ref="A7:F7"/>
  </mergeCells>
  <pageMargins left="0.5" right="0.5" top="0.5" bottom="0.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BOQ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2026-09-13T04:44:55Z</dcterms:created>
  <dcterms:modified xsi:type="dcterms:W3CDTF">2026-09-13T04:44:55Z</dcterms:modified>
</cp:coreProperties>
</file>