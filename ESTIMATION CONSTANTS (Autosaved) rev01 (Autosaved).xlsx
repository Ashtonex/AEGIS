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user\Documents\WORK\"/>
    </mc:Choice>
  </mc:AlternateContent>
  <xr:revisionPtr revIDLastSave="0" documentId="8_{017B3C99-046B-C049-A7EE-0771EB156A08}" xr6:coauthVersionLast="47" xr6:coauthVersionMax="47" xr10:uidLastSave="{00000000-0000-0000-0000-000000000000}"/>
  <bookViews>
    <workbookView xWindow="480" yWindow="180" windowWidth="14235" windowHeight="8130" tabRatio="887" firstSheet="6" activeTab="3" xr2:uid="{00000000-000D-0000-FFFF-FFFF00000000}"/>
  </bookViews>
  <sheets>
    <sheet name="OUTPUT" sheetId="8" r:id="rId1"/>
    <sheet name="EST  CONSTANTS" sheetId="7" r:id="rId2"/>
    <sheet name="FNDTNS" sheetId="2" r:id="rId3"/>
    <sheet name="BWRK" sheetId="3" r:id="rId4"/>
    <sheet name="PLASTER" sheetId="4" r:id="rId5"/>
    <sheet name="SCREED" sheetId="5" r:id="rId6"/>
    <sheet name="PAINTING" sheetId="6" r:id="rId7"/>
    <sheet name="Girth &amp; Opps" sheetId="17" r:id="rId8"/>
    <sheet name="Subie Valuation" sheetId="10" r:id="rId9"/>
    <sheet name="Sheet2" sheetId="13" r:id="rId10"/>
    <sheet name="Sheet3" sheetId="15" r:id="rId11"/>
    <sheet name="Sheet4" sheetId="16" r:id="rId12"/>
    <sheet name="Sheet5" sheetId="19" r:id="rId13"/>
    <sheet name="Sheet1" sheetId="43" r:id="rId14"/>
    <sheet name="Carpentry" sheetId="20" r:id="rId15"/>
    <sheet name="Interior Finishings" sheetId="28" r:id="rId16"/>
    <sheet name="Sheet16" sheetId="41" r:id="rId17"/>
    <sheet name="Sheet17" sheetId="42" r:id="rId18"/>
    <sheet name="Joinery" sheetId="29" r:id="rId19"/>
    <sheet name="Roof and ceiling Framing" sheetId="30" r:id="rId20"/>
    <sheet name="Lifts and Escalators" sheetId="31" r:id="rId21"/>
    <sheet name="Suspended Ceilings" sheetId="32" r:id="rId22"/>
    <sheet name="Tiling" sheetId="33" r:id="rId23"/>
    <sheet name="Floor Coverings" sheetId="34" r:id="rId24"/>
    <sheet name="Glazing" sheetId="35" r:id="rId25"/>
    <sheet name="Wall Papering and Painting" sheetId="36" r:id="rId26"/>
    <sheet name="Plumbing" sheetId="37" r:id="rId27"/>
    <sheet name="Masonry" sheetId="38" r:id="rId28"/>
    <sheet name="Tower cranes" sheetId="39" r:id="rId29"/>
  </sheets>
  <definedNames>
    <definedName name="_xlnm.Print_Area" localSheetId="1">'EST  CONSTANTS'!$A$1:$G$329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7" i="7" l="1"/>
  <c r="E142" i="7"/>
  <c r="E137" i="7"/>
  <c r="D12" i="3"/>
  <c r="P123" i="8"/>
  <c r="P122" i="8"/>
  <c r="K119" i="8"/>
  <c r="K87" i="8"/>
  <c r="K165" i="8"/>
  <c r="K113" i="8"/>
  <c r="K112" i="8"/>
  <c r="E5" i="19"/>
  <c r="E9" i="19"/>
  <c r="E10" i="19"/>
  <c r="E11" i="19"/>
  <c r="E12" i="19"/>
  <c r="E13" i="19"/>
  <c r="E14" i="19"/>
  <c r="E15" i="19"/>
  <c r="E16" i="19"/>
  <c r="E17" i="19"/>
  <c r="E19" i="19"/>
  <c r="E21" i="19"/>
  <c r="E23" i="19"/>
  <c r="E25" i="19"/>
  <c r="E58" i="19"/>
  <c r="E66" i="19"/>
  <c r="E67" i="19"/>
  <c r="E68" i="19"/>
  <c r="E70" i="19"/>
  <c r="E72" i="19"/>
  <c r="E74" i="19"/>
  <c r="E76" i="19"/>
  <c r="E78" i="19"/>
  <c r="E80" i="19"/>
  <c r="E82" i="19"/>
  <c r="E84" i="19"/>
  <c r="E86" i="19"/>
  <c r="E87" i="19"/>
  <c r="E88" i="19"/>
  <c r="E90" i="19"/>
  <c r="E93" i="19"/>
  <c r="E96" i="19"/>
  <c r="E99" i="19"/>
  <c r="E101" i="19"/>
  <c r="E118"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D36" i="16"/>
  <c r="F10" i="15"/>
  <c r="F11" i="15"/>
  <c r="F12" i="15"/>
  <c r="F13" i="15"/>
  <c r="F14" i="15"/>
  <c r="F15" i="15"/>
  <c r="F16" i="15"/>
  <c r="F17" i="15"/>
  <c r="F18" i="15"/>
  <c r="F19" i="15"/>
  <c r="F20" i="15"/>
  <c r="F24" i="15"/>
  <c r="F25" i="15"/>
  <c r="F26" i="15"/>
  <c r="F27" i="15"/>
  <c r="F28" i="15"/>
  <c r="F29" i="15"/>
  <c r="F30" i="15"/>
  <c r="F31" i="15"/>
  <c r="F32" i="15"/>
  <c r="F37" i="15"/>
  <c r="F38" i="15"/>
  <c r="F39" i="15"/>
  <c r="F40" i="15"/>
  <c r="F41" i="15"/>
  <c r="F42" i="15"/>
  <c r="F43" i="15"/>
  <c r="F44" i="15"/>
  <c r="F51" i="15"/>
  <c r="F52" i="15"/>
  <c r="F53" i="15"/>
  <c r="F56" i="15"/>
  <c r="F57" i="15"/>
  <c r="F58" i="15"/>
  <c r="F65" i="15"/>
  <c r="F70" i="15"/>
  <c r="F78" i="15"/>
  <c r="F79" i="15"/>
  <c r="F80" i="15"/>
  <c r="F82" i="15"/>
  <c r="F85" i="15"/>
  <c r="F86" i="15"/>
  <c r="F87" i="15"/>
  <c r="F89" i="15"/>
  <c r="F92" i="15"/>
  <c r="F123" i="15"/>
  <c r="F124" i="15"/>
  <c r="F125" i="15"/>
  <c r="F126" i="15"/>
  <c r="F127" i="15"/>
  <c r="F128" i="15"/>
  <c r="F129" i="15"/>
  <c r="F130" i="15"/>
  <c r="F131" i="15"/>
  <c r="F132" i="15"/>
  <c r="F10" i="13"/>
  <c r="F11" i="13"/>
  <c r="F12" i="13"/>
  <c r="F13" i="13"/>
  <c r="F14" i="13"/>
  <c r="F15" i="13"/>
  <c r="F18" i="13"/>
  <c r="F19" i="13"/>
  <c r="F20" i="13"/>
  <c r="F30" i="13"/>
  <c r="F35" i="13"/>
  <c r="F37" i="13"/>
  <c r="F39" i="13"/>
  <c r="F41" i="13"/>
  <c r="F48" i="13"/>
  <c r="F51" i="13"/>
  <c r="G25" i="10"/>
  <c r="G30" i="10"/>
  <c r="G38" i="10"/>
  <c r="G41" i="10"/>
  <c r="G43" i="10"/>
  <c r="G46" i="10"/>
  <c r="C19" i="17"/>
  <c r="H18" i="17"/>
  <c r="A19" i="17"/>
  <c r="I18" i="17"/>
  <c r="E19" i="17"/>
  <c r="J18" i="17"/>
  <c r="D19" i="17"/>
  <c r="K18" i="17"/>
  <c r="F19" i="17"/>
  <c r="L18" i="17"/>
  <c r="E23" i="17"/>
  <c r="F23" i="17"/>
  <c r="E25" i="17"/>
  <c r="F25" i="17"/>
  <c r="E26" i="17"/>
  <c r="F26" i="17"/>
  <c r="E28" i="17"/>
  <c r="F32" i="17"/>
  <c r="F33" i="17"/>
  <c r="D34" i="17"/>
  <c r="F34" i="17"/>
  <c r="F35" i="17"/>
  <c r="E40" i="17"/>
  <c r="F40" i="17"/>
  <c r="E41" i="17"/>
  <c r="F41" i="17"/>
  <c r="E42" i="17"/>
  <c r="F42" i="17"/>
  <c r="E43" i="17"/>
  <c r="F43" i="17"/>
  <c r="E44" i="17"/>
  <c r="F44" i="17"/>
  <c r="E45" i="17"/>
  <c r="F45" i="17"/>
  <c r="E46" i="17"/>
  <c r="F46" i="17"/>
  <c r="E47" i="17"/>
  <c r="G47" i="17"/>
  <c r="E48" i="17"/>
  <c r="G48" i="17"/>
  <c r="E49" i="17"/>
  <c r="G49" i="17"/>
  <c r="E50" i="17"/>
  <c r="G50" i="17"/>
  <c r="E51" i="17"/>
  <c r="F51" i="17"/>
  <c r="E52" i="17"/>
  <c r="F52" i="17"/>
  <c r="C71" i="17"/>
  <c r="D71" i="17"/>
  <c r="E71" i="17"/>
  <c r="F71" i="17"/>
  <c r="G71" i="17"/>
  <c r="C5" i="6"/>
  <c r="D5" i="6"/>
  <c r="E5" i="6"/>
  <c r="G5" i="6"/>
  <c r="C13" i="6"/>
  <c r="D13" i="6"/>
  <c r="E13" i="6"/>
  <c r="G13" i="6"/>
  <c r="C21" i="6"/>
  <c r="D21" i="6"/>
  <c r="E21" i="6"/>
  <c r="G21" i="6"/>
  <c r="C29" i="6"/>
  <c r="D29" i="6"/>
  <c r="E29" i="6"/>
  <c r="G29" i="6"/>
  <c r="C37" i="6"/>
  <c r="D37" i="6"/>
  <c r="E37" i="6"/>
  <c r="G37" i="6"/>
  <c r="E44" i="6"/>
  <c r="G44" i="6"/>
  <c r="D5" i="5"/>
  <c r="E5" i="5"/>
  <c r="D7" i="5"/>
  <c r="E7" i="5"/>
  <c r="D9" i="5"/>
  <c r="E9" i="5"/>
  <c r="D11" i="5"/>
  <c r="E11" i="5"/>
  <c r="E13" i="5"/>
  <c r="E15" i="5"/>
  <c r="E23" i="5"/>
  <c r="E25" i="5"/>
  <c r="E27" i="5"/>
  <c r="E29" i="5"/>
  <c r="E31" i="5"/>
  <c r="E33" i="5"/>
  <c r="E37" i="5"/>
  <c r="D13" i="5"/>
  <c r="D15" i="5"/>
  <c r="D23" i="5"/>
  <c r="D25" i="5"/>
  <c r="D27" i="5"/>
  <c r="D29" i="5"/>
  <c r="D31" i="5"/>
  <c r="D33" i="5"/>
  <c r="G36" i="5"/>
  <c r="G37" i="5"/>
  <c r="D5" i="4"/>
  <c r="E5" i="4"/>
  <c r="D7" i="4"/>
  <c r="E7" i="4"/>
  <c r="D9" i="4"/>
  <c r="E9" i="4"/>
  <c r="D11" i="4"/>
  <c r="E11" i="4"/>
  <c r="D13" i="4"/>
  <c r="E13" i="4"/>
  <c r="D15" i="4"/>
  <c r="E15" i="4"/>
  <c r="D23" i="4"/>
  <c r="E23" i="4"/>
  <c r="D25" i="4"/>
  <c r="E25" i="4"/>
  <c r="D27" i="4"/>
  <c r="E27" i="4"/>
  <c r="D29" i="4"/>
  <c r="E29" i="4"/>
  <c r="D31" i="4"/>
  <c r="E31" i="4"/>
  <c r="D33" i="4"/>
  <c r="E33" i="4"/>
  <c r="D6" i="3"/>
  <c r="E6" i="3"/>
  <c r="F6" i="3"/>
  <c r="G6" i="3"/>
  <c r="D8" i="3"/>
  <c r="E8" i="3"/>
  <c r="F8" i="3"/>
  <c r="G8" i="3"/>
  <c r="D10" i="3"/>
  <c r="E10" i="3"/>
  <c r="F10" i="3"/>
  <c r="G10" i="3"/>
  <c r="E12" i="3"/>
  <c r="F12" i="3"/>
  <c r="G12" i="3"/>
  <c r="G14" i="3"/>
  <c r="G33" i="3"/>
  <c r="H33" i="3"/>
  <c r="D14" i="3"/>
  <c r="E14" i="3"/>
  <c r="F14" i="3"/>
  <c r="D21" i="3"/>
  <c r="E21" i="3"/>
  <c r="F21" i="3"/>
  <c r="G21" i="3"/>
  <c r="D23" i="3"/>
  <c r="E23" i="3"/>
  <c r="F23" i="3"/>
  <c r="G23" i="3"/>
  <c r="D25" i="3"/>
  <c r="E25" i="3"/>
  <c r="F25" i="3"/>
  <c r="G25" i="3"/>
  <c r="D27" i="3"/>
  <c r="E27" i="3"/>
  <c r="F27" i="3"/>
  <c r="G27" i="3"/>
  <c r="D29" i="3"/>
  <c r="E29" i="3"/>
  <c r="E33" i="3"/>
  <c r="F29" i="3"/>
  <c r="G29" i="3"/>
  <c r="D33" i="3"/>
  <c r="D6" i="2"/>
  <c r="E6" i="2"/>
  <c r="F6" i="2"/>
  <c r="G6" i="2"/>
  <c r="D8" i="2"/>
  <c r="E8" i="2"/>
  <c r="F8" i="2"/>
  <c r="G8" i="2"/>
  <c r="D10" i="2"/>
  <c r="E10" i="2"/>
  <c r="F10" i="2"/>
  <c r="G10" i="2"/>
  <c r="D12" i="2"/>
  <c r="E12" i="2"/>
  <c r="F12" i="2"/>
  <c r="G12" i="2"/>
  <c r="D14" i="2"/>
  <c r="E14" i="2"/>
  <c r="F14" i="2"/>
  <c r="G14" i="2"/>
  <c r="D21" i="2"/>
  <c r="E21" i="2"/>
  <c r="F21" i="2"/>
  <c r="G21" i="2"/>
  <c r="D23" i="2"/>
  <c r="E23" i="2"/>
  <c r="F23" i="2"/>
  <c r="G23" i="2"/>
  <c r="D25" i="2"/>
  <c r="E25" i="2"/>
  <c r="F25" i="2"/>
  <c r="G25" i="2"/>
  <c r="D27" i="2"/>
  <c r="E27" i="2"/>
  <c r="F27" i="2"/>
  <c r="G27" i="2"/>
  <c r="D29" i="2"/>
  <c r="E29" i="2"/>
  <c r="F29" i="2"/>
  <c r="G29" i="2"/>
  <c r="D33" i="2"/>
  <c r="E33" i="2"/>
  <c r="F33" i="2"/>
  <c r="D41" i="2"/>
  <c r="E41" i="2"/>
  <c r="F41" i="2"/>
  <c r="D43" i="2"/>
  <c r="E43" i="2"/>
  <c r="F43" i="2"/>
  <c r="D45" i="2"/>
  <c r="D47" i="2"/>
  <c r="D49" i="2"/>
  <c r="D52" i="2"/>
  <c r="D54" i="2"/>
  <c r="D59" i="2"/>
  <c r="E45" i="2"/>
  <c r="F45" i="2"/>
  <c r="E47" i="2"/>
  <c r="F47" i="2"/>
  <c r="E49" i="2"/>
  <c r="F49" i="2"/>
  <c r="E52" i="2"/>
  <c r="F52" i="2"/>
  <c r="E54" i="2"/>
  <c r="F54" i="2"/>
  <c r="E59" i="2"/>
  <c r="F59" i="2"/>
  <c r="E7" i="7"/>
  <c r="E8" i="7"/>
  <c r="E9" i="7"/>
  <c r="E12" i="7"/>
  <c r="E13" i="7"/>
  <c r="E14" i="7"/>
  <c r="E17" i="7"/>
  <c r="E18" i="7"/>
  <c r="E19" i="7"/>
  <c r="E22" i="7"/>
  <c r="E23" i="7"/>
  <c r="E24" i="7"/>
  <c r="E27" i="7"/>
  <c r="E28" i="7"/>
  <c r="E29" i="7"/>
  <c r="E32" i="7"/>
  <c r="E33" i="7"/>
  <c r="E34" i="7"/>
  <c r="E39" i="7"/>
  <c r="E43" i="7"/>
  <c r="E46" i="7"/>
  <c r="E50" i="7"/>
  <c r="E55" i="7"/>
  <c r="E59" i="7"/>
  <c r="E60" i="7"/>
  <c r="E61" i="7"/>
  <c r="E65" i="7"/>
  <c r="E66" i="7"/>
  <c r="E67" i="7"/>
  <c r="E70" i="7"/>
  <c r="E71" i="7"/>
  <c r="E72" i="7"/>
  <c r="E75" i="7"/>
  <c r="E76" i="7"/>
  <c r="E77" i="7"/>
  <c r="E80" i="7"/>
  <c r="E81" i="7"/>
  <c r="E82" i="7"/>
  <c r="E86" i="7"/>
  <c r="E90" i="7"/>
  <c r="E94" i="7"/>
  <c r="E98" i="7"/>
  <c r="E103" i="7"/>
  <c r="E108" i="7"/>
  <c r="E112" i="7"/>
  <c r="E116" i="7"/>
  <c r="E120" i="7"/>
  <c r="E121" i="7"/>
  <c r="E122" i="7"/>
  <c r="E123" i="7"/>
  <c r="E130" i="7"/>
  <c r="E131" i="7"/>
  <c r="E132" i="7"/>
  <c r="E136" i="7"/>
  <c r="E138" i="7"/>
  <c r="E141" i="7"/>
  <c r="E143" i="7"/>
  <c r="E146" i="7"/>
  <c r="E148" i="7"/>
  <c r="E151" i="7"/>
  <c r="E152" i="7"/>
  <c r="E153" i="7"/>
  <c r="E156" i="7"/>
  <c r="E157" i="7"/>
  <c r="E158" i="7"/>
  <c r="E162" i="7"/>
  <c r="E163" i="7"/>
  <c r="E167" i="7"/>
  <c r="E168" i="7"/>
  <c r="E169" i="7"/>
  <c r="E172" i="7"/>
  <c r="E173" i="7"/>
  <c r="E174" i="7"/>
  <c r="E177" i="7"/>
  <c r="E178" i="7"/>
  <c r="E179" i="7"/>
  <c r="E183" i="7"/>
  <c r="E184" i="7"/>
  <c r="E185" i="7"/>
  <c r="E188" i="7"/>
  <c r="E189" i="7"/>
  <c r="E190" i="7"/>
  <c r="E194" i="7"/>
  <c r="E195" i="7"/>
  <c r="E196" i="7"/>
  <c r="E201" i="7"/>
  <c r="E205" i="7"/>
  <c r="E209" i="7"/>
  <c r="E213" i="7"/>
  <c r="E217" i="7"/>
  <c r="E221" i="7"/>
  <c r="E225" i="7"/>
  <c r="E226" i="7"/>
  <c r="E227" i="7"/>
  <c r="E231" i="7"/>
  <c r="E232" i="7"/>
  <c r="E233" i="7"/>
  <c r="E234" i="7"/>
  <c r="E235" i="7"/>
  <c r="E239" i="7"/>
  <c r="E240" i="7"/>
  <c r="E241" i="7"/>
  <c r="E242" i="7"/>
  <c r="E249" i="7"/>
  <c r="E250" i="7"/>
  <c r="E256" i="7"/>
  <c r="E257" i="7"/>
  <c r="E263" i="7"/>
  <c r="E269" i="7"/>
  <c r="E270" i="7"/>
  <c r="E271" i="7"/>
  <c r="E272" i="7"/>
  <c r="E273" i="7"/>
  <c r="E274" i="7"/>
  <c r="E279" i="7"/>
  <c r="E283" i="7"/>
  <c r="E284" i="7"/>
  <c r="E285" i="7"/>
  <c r="E289" i="7"/>
  <c r="E292" i="7"/>
  <c r="E296" i="7"/>
  <c r="E300" i="7"/>
  <c r="E304" i="7"/>
  <c r="E305" i="7"/>
  <c r="E306" i="7"/>
  <c r="E310" i="7"/>
  <c r="E314" i="7"/>
  <c r="E315" i="7"/>
  <c r="E319" i="7"/>
  <c r="E320" i="7"/>
  <c r="E321" i="7"/>
  <c r="E325" i="7"/>
  <c r="E326" i="7"/>
  <c r="E327" i="7"/>
  <c r="H22" i="8"/>
  <c r="I339" i="8"/>
  <c r="I352" i="8"/>
  <c r="I346" i="8"/>
  <c r="I347" i="8"/>
  <c r="I358" i="8"/>
  <c r="I359" i="8"/>
  <c r="I362" i="8"/>
  <c r="C45" i="6"/>
  <c r="D37" i="5"/>
  <c r="D37" i="4"/>
  <c r="E37" i="4"/>
  <c r="F33" i="3"/>
  <c r="I33" i="3"/>
  <c r="J3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wchikwanyanga</author>
  </authors>
  <commentList>
    <comment ref="I339" authorId="0" shapeId="0" xr:uid="{00000000-0006-0000-0000-000001000000}">
      <text>
        <r>
          <rPr>
            <b/>
            <sz val="8"/>
            <color indexed="81"/>
            <rFont val="Tahoma"/>
            <family val="2"/>
          </rPr>
          <t>wchikwanyanga:</t>
        </r>
        <r>
          <rPr>
            <sz val="8"/>
            <color indexed="81"/>
            <rFont val="Tahoma"/>
            <family val="2"/>
          </rPr>
          <t xml:space="preserve">
1m3 of mortar yields this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MACO Builders</author>
  </authors>
  <commentList>
    <comment ref="J231" authorId="0" shapeId="0" xr:uid="{00000000-0006-0000-0100-000001000000}">
      <text>
        <r>
          <rPr>
            <b/>
            <sz val="8"/>
            <color indexed="81"/>
            <rFont val="Tahoma"/>
            <family val="2"/>
          </rPr>
          <t>MACO Builders:</t>
        </r>
        <r>
          <rPr>
            <sz val="8"/>
            <color indexed="81"/>
            <rFont val="Tahoma"/>
            <family val="2"/>
          </rPr>
          <t xml:space="preserve">
</t>
        </r>
      </text>
    </comment>
    <comment ref="E246" authorId="0" shapeId="0" xr:uid="{00000000-0006-0000-0100-000002000000}">
      <text>
        <r>
          <rPr>
            <b/>
            <sz val="8"/>
            <color indexed="81"/>
            <rFont val="Tahoma"/>
            <family val="2"/>
          </rPr>
          <t>MACO Builders:</t>
        </r>
        <r>
          <rPr>
            <sz val="8"/>
            <color indexed="81"/>
            <rFont val="Tahoma"/>
            <family val="2"/>
          </rPr>
          <t xml:space="preserve">
</t>
        </r>
      </text>
    </comment>
    <comment ref="F246" authorId="0" shapeId="0" xr:uid="{00000000-0006-0000-0100-000003000000}">
      <text>
        <r>
          <rPr>
            <b/>
            <sz val="8"/>
            <color indexed="81"/>
            <rFont val="Tahoma"/>
            <family val="2"/>
          </rPr>
          <t>MACO Builders:</t>
        </r>
        <r>
          <rPr>
            <sz val="8"/>
            <color indexed="81"/>
            <rFont val="Tahoma"/>
            <family val="2"/>
          </rPr>
          <t xml:space="preserve">
</t>
        </r>
      </text>
    </comment>
  </commentList>
</comments>
</file>

<file path=xl/sharedStrings.xml><?xml version="1.0" encoding="utf-8"?>
<sst xmlns="http://schemas.openxmlformats.org/spreadsheetml/2006/main" count="4466" uniqueCount="1765">
  <si>
    <t>bricks</t>
  </si>
  <si>
    <t>cement</t>
  </si>
  <si>
    <t>sand</t>
  </si>
  <si>
    <t>PLASTER</t>
  </si>
  <si>
    <t>stone</t>
  </si>
  <si>
    <t>Rhinoset</t>
  </si>
  <si>
    <t>Walls</t>
  </si>
  <si>
    <t>tylon</t>
  </si>
  <si>
    <t>Vinyl</t>
  </si>
  <si>
    <t>Rhinobond</t>
  </si>
  <si>
    <t>brandering</t>
  </si>
  <si>
    <t>Cement</t>
  </si>
  <si>
    <t>ONE BRICK WALL</t>
  </si>
  <si>
    <t>note - brickforce is every 3 courses and includes 10% waste</t>
  </si>
  <si>
    <t xml:space="preserve">           bricks do not include waste</t>
  </si>
  <si>
    <t xml:space="preserve">mortar </t>
  </si>
  <si>
    <t>pit sand</t>
  </si>
  <si>
    <t>brickforce</t>
  </si>
  <si>
    <t>mix</t>
  </si>
  <si>
    <t>area</t>
  </si>
  <si>
    <t>bags</t>
  </si>
  <si>
    <t>m3</t>
  </si>
  <si>
    <t>no.</t>
  </si>
  <si>
    <t>rolls</t>
  </si>
  <si>
    <t>1:1</t>
  </si>
  <si>
    <t>1:2</t>
  </si>
  <si>
    <t>1:3</t>
  </si>
  <si>
    <t>1:4</t>
  </si>
  <si>
    <t>1:5</t>
  </si>
  <si>
    <t>HALF BRICK WALL</t>
  </si>
  <si>
    <t>TOTAL</t>
  </si>
  <si>
    <t>CONCRETE WORKS</t>
  </si>
  <si>
    <t>19mm ag</t>
  </si>
  <si>
    <t>grade</t>
  </si>
  <si>
    <t>volume</t>
  </si>
  <si>
    <t>10</t>
  </si>
  <si>
    <t>15</t>
  </si>
  <si>
    <t>20</t>
  </si>
  <si>
    <t>25</t>
  </si>
  <si>
    <t>30</t>
  </si>
  <si>
    <t>ratio</t>
  </si>
  <si>
    <t>1:3:6</t>
  </si>
  <si>
    <t>1:2:4</t>
  </si>
  <si>
    <t xml:space="preserve"> sand</t>
  </si>
  <si>
    <t>note - brickforce is every 4 courses and includes 10% waste</t>
  </si>
  <si>
    <t>note-Waste included on  bricks</t>
  </si>
  <si>
    <t>20mm Plaster</t>
  </si>
  <si>
    <t>1:6</t>
  </si>
  <si>
    <t>10mm Plaster</t>
  </si>
  <si>
    <t>SCREED</t>
  </si>
  <si>
    <t>40mm Screed</t>
  </si>
  <si>
    <t>river sand</t>
  </si>
  <si>
    <t>50mm Screed</t>
  </si>
  <si>
    <t>PVA Paint to Boards</t>
  </si>
  <si>
    <t>Unit = 5 litre tins</t>
  </si>
  <si>
    <t>Area</t>
  </si>
  <si>
    <t>1st Coat</t>
  </si>
  <si>
    <t>2nd Coat</t>
  </si>
  <si>
    <t>3rd Coat</t>
  </si>
  <si>
    <t>Total</t>
  </si>
  <si>
    <t xml:space="preserve"> no of 5 ltr tins</t>
  </si>
  <si>
    <t>PVA Paint to Plaster</t>
  </si>
  <si>
    <t>PVA Paint to Blockwork</t>
  </si>
  <si>
    <t>PVA Paint to Steelwork</t>
  </si>
  <si>
    <t>PVA Paint to Timber</t>
  </si>
  <si>
    <t>CONVERSIONS FOR PREPARING SCHEDULE OF MATERIALS</t>
  </si>
  <si>
    <t>WET TRADES</t>
  </si>
  <si>
    <t>SUBSTRUCTURE</t>
  </si>
  <si>
    <t>Concrete</t>
  </si>
  <si>
    <t>Grade 10-20</t>
  </si>
  <si>
    <r>
      <t>m</t>
    </r>
    <r>
      <rPr>
        <b/>
        <vertAlign val="superscript"/>
        <sz val="10"/>
        <rFont val="Arial"/>
        <family val="2"/>
      </rPr>
      <t>3</t>
    </r>
  </si>
  <si>
    <t>Grade 20-20</t>
  </si>
  <si>
    <t>Grade 25-20</t>
  </si>
  <si>
    <t>Grade 30-20</t>
  </si>
  <si>
    <t>Grade 30-40</t>
  </si>
  <si>
    <t>Grade 40-20</t>
  </si>
  <si>
    <t>Polythene sheeting</t>
  </si>
  <si>
    <r>
      <t>m</t>
    </r>
    <r>
      <rPr>
        <b/>
        <vertAlign val="superscript"/>
        <sz val="10"/>
        <rFont val="Arial"/>
        <family val="2"/>
      </rPr>
      <t>2</t>
    </r>
  </si>
  <si>
    <t>m</t>
  </si>
  <si>
    <t>Mesh fabric reinforcement Ref S193</t>
  </si>
  <si>
    <t>sheets</t>
  </si>
  <si>
    <t>Hardcore</t>
  </si>
  <si>
    <t>Sand blinding</t>
  </si>
  <si>
    <t>Termite treatment</t>
  </si>
  <si>
    <t>m2</t>
  </si>
  <si>
    <t>litres</t>
  </si>
  <si>
    <t>Half brick wall</t>
  </si>
  <si>
    <t>commons</t>
  </si>
  <si>
    <t>facings</t>
  </si>
  <si>
    <t>One brick wall</t>
  </si>
  <si>
    <t>Piers</t>
  </si>
  <si>
    <t>Brick-on-edge</t>
  </si>
  <si>
    <t>Damp proof course for half brick wall</t>
  </si>
  <si>
    <t>roll</t>
  </si>
  <si>
    <t>Damp proof course for one brick wall</t>
  </si>
  <si>
    <t>Ref C1 for half brick wall</t>
  </si>
  <si>
    <t>Ref C2 for one brick wall</t>
  </si>
  <si>
    <t>Steel bar reinforcement</t>
  </si>
  <si>
    <t>kg</t>
  </si>
  <si>
    <t>10mm Expansion joint.</t>
  </si>
  <si>
    <t>3 ply bituminous felt sheeting</t>
  </si>
  <si>
    <t>Thioflex sealant.</t>
  </si>
  <si>
    <t>tubes</t>
  </si>
  <si>
    <t>Woodfloat plaster</t>
  </si>
  <si>
    <t>undercoat</t>
  </si>
  <si>
    <t>EPVA</t>
  </si>
  <si>
    <t>SUPERSTRUCTURE</t>
  </si>
  <si>
    <t>cement-0.33m3</t>
  </si>
  <si>
    <t>Screeds</t>
  </si>
  <si>
    <t>150 mm Block wall</t>
  </si>
  <si>
    <t>blocks</t>
  </si>
  <si>
    <t>150 x 150 mm White glazed wall tiles</t>
  </si>
  <si>
    <t>tiles</t>
  </si>
  <si>
    <t>5kg</t>
  </si>
  <si>
    <t>tile addhesive</t>
  </si>
  <si>
    <t>20kg</t>
  </si>
  <si>
    <t>Render and set to walls</t>
  </si>
  <si>
    <t>Redecoration to existing int. walls</t>
  </si>
  <si>
    <t>rhinoset</t>
  </si>
  <si>
    <t>IPVA</t>
  </si>
  <si>
    <t>Plasterboard ceilings</t>
  </si>
  <si>
    <t>Plasterboard ceilings redecor</t>
  </si>
  <si>
    <t>ceiling white</t>
  </si>
  <si>
    <t>clout nails</t>
  </si>
  <si>
    <t>covebond</t>
  </si>
  <si>
    <t>ROOF COVERINGS</t>
  </si>
  <si>
    <t>Cill ( quarry tiles)</t>
  </si>
  <si>
    <t>Concrete roof tiles</t>
  </si>
  <si>
    <t>Roof nails</t>
  </si>
  <si>
    <t>Battens</t>
  </si>
  <si>
    <t>300 x 300 Vinyl tiles</t>
  </si>
  <si>
    <t>Skirting</t>
  </si>
  <si>
    <t>tile adhesive</t>
  </si>
  <si>
    <t>varnish</t>
  </si>
  <si>
    <t>150 x 150 Quarry floor tiles</t>
  </si>
  <si>
    <t>Pelmets</t>
  </si>
  <si>
    <t>Wall plate</t>
  </si>
  <si>
    <t>galvanised hoop iron ties</t>
  </si>
  <si>
    <t>carbolineum</t>
  </si>
  <si>
    <t>Painting to metal</t>
  </si>
  <si>
    <t>metal primer</t>
  </si>
  <si>
    <t>high gloss</t>
  </si>
  <si>
    <t>Painting to wood</t>
  </si>
  <si>
    <t>wood primer</t>
  </si>
  <si>
    <t>Face Brick Wall</t>
  </si>
  <si>
    <t>Face Brick Wall                m2</t>
  </si>
  <si>
    <t>Sheets</t>
  </si>
  <si>
    <t>2100*1200</t>
  </si>
  <si>
    <t>Redecoration to existing Ext. walls</t>
  </si>
  <si>
    <t>L</t>
  </si>
  <si>
    <t>Grout</t>
  </si>
  <si>
    <t>Mesh fabric reinforcement 6*2.4m)</t>
  </si>
  <si>
    <t>ESTIMATING DATA</t>
  </si>
  <si>
    <t>GROUND WORKS</t>
  </si>
  <si>
    <t>A. SITE CLEARANCE</t>
  </si>
  <si>
    <t>1,Clear site of all vegetation</t>
  </si>
  <si>
    <t>1 Lab</t>
  </si>
  <si>
    <t>20m2/day</t>
  </si>
  <si>
    <t>B. EXCAVATIONS</t>
  </si>
  <si>
    <t>1, Normal pickable ground</t>
  </si>
  <si>
    <t>a) Trenches etc not exceeding 1m deep</t>
  </si>
  <si>
    <t>2m3/day</t>
  </si>
  <si>
    <t xml:space="preserve">    Ditto 1-2m deep</t>
  </si>
  <si>
    <t>1.5m3/day</t>
  </si>
  <si>
    <t xml:space="preserve">    Ditto 2-3m deep</t>
  </si>
  <si>
    <t>1m3/day</t>
  </si>
  <si>
    <t>b) Bases etc not exceeding 1m deep</t>
  </si>
  <si>
    <t>1.75m3/day</t>
  </si>
  <si>
    <t>1.20m3/day</t>
  </si>
  <si>
    <t>0.75m3/day</t>
  </si>
  <si>
    <t>c) Reduce levels n.e. 1m deep</t>
  </si>
  <si>
    <t>2.20m3/day</t>
  </si>
  <si>
    <t>2, Hard pickable ground</t>
  </si>
  <si>
    <t xml:space="preserve">    As above, but +250%</t>
  </si>
  <si>
    <t>3, Rock excavation</t>
  </si>
  <si>
    <t xml:space="preserve">    As above, but +1200%</t>
  </si>
  <si>
    <t>C. DISPOSALS</t>
  </si>
  <si>
    <t xml:space="preserve">    </t>
  </si>
  <si>
    <t>a)  Backfilling to trenches and bases</t>
  </si>
  <si>
    <t>2.5m3/day</t>
  </si>
  <si>
    <t>b) Loose fill under floor</t>
  </si>
  <si>
    <t>3.0m3/day</t>
  </si>
  <si>
    <t xml:space="preserve">c) Ram fill under floors </t>
  </si>
  <si>
    <t>2.0m3/day</t>
  </si>
  <si>
    <t>d) Compacting</t>
  </si>
  <si>
    <t>35m2/day</t>
  </si>
  <si>
    <t>e) Load for disposal</t>
  </si>
  <si>
    <t>BRICKWORK AND BLOCKWORK</t>
  </si>
  <si>
    <t xml:space="preserve"> NB</t>
  </si>
  <si>
    <t>Adjustments must be made for high standard requirements</t>
  </si>
  <si>
    <t>All data based on gang of 1 Bricklayer + 2 Assistants</t>
  </si>
  <si>
    <t>Scaffolding not included</t>
  </si>
  <si>
    <t>BRICKWORK</t>
  </si>
  <si>
    <t>Common brickwork:</t>
  </si>
  <si>
    <t xml:space="preserve">In foundations, </t>
  </si>
  <si>
    <t>Half brick thick</t>
  </si>
  <si>
    <t>375/day</t>
  </si>
  <si>
    <t>One brick thick</t>
  </si>
  <si>
    <t>400/day</t>
  </si>
  <si>
    <t>One and half brick thick</t>
  </si>
  <si>
    <t>425/day</t>
  </si>
  <si>
    <t>In superstructure up to 2 storeys,</t>
  </si>
  <si>
    <t>350/day</t>
  </si>
  <si>
    <t>380/day</t>
  </si>
  <si>
    <t>Facing brickwork:</t>
  </si>
  <si>
    <t>In foundations,</t>
  </si>
  <si>
    <t>325/day</t>
  </si>
  <si>
    <t>340/day</t>
  </si>
  <si>
    <t>300/day</t>
  </si>
  <si>
    <t>Composite brickwork ( faced on side )</t>
  </si>
  <si>
    <t>330/day</t>
  </si>
  <si>
    <t>Mortar</t>
  </si>
  <si>
    <t>Mixing by hand</t>
  </si>
  <si>
    <t>8hrs/m3</t>
  </si>
  <si>
    <t>BLOCKWORK</t>
  </si>
  <si>
    <t>115mm blockwork:</t>
  </si>
  <si>
    <t>In foundations</t>
  </si>
  <si>
    <t>180/day</t>
  </si>
  <si>
    <t>In superstructure</t>
  </si>
  <si>
    <t>150/day</t>
  </si>
  <si>
    <t>230mm blockwork:</t>
  </si>
  <si>
    <t>120/day</t>
  </si>
  <si>
    <t>SUNDRIES</t>
  </si>
  <si>
    <t>Beam filling</t>
  </si>
  <si>
    <t>3m/hr/skin</t>
  </si>
  <si>
    <t>Rough cutting</t>
  </si>
  <si>
    <t>2.5hrs/m2</t>
  </si>
  <si>
    <t>Cutting pipe chases</t>
  </si>
  <si>
    <t>1.5hrs/m</t>
  </si>
  <si>
    <t>Copings</t>
  </si>
  <si>
    <t>0.75hrs/m</t>
  </si>
  <si>
    <t>Fair cuttings</t>
  </si>
  <si>
    <t>1hr/m</t>
  </si>
  <si>
    <t>Cut small holes</t>
  </si>
  <si>
    <t>1hr/skin</t>
  </si>
  <si>
    <t>Cut large holes</t>
  </si>
  <si>
    <t>2hrs/skin</t>
  </si>
  <si>
    <t>Fix door and window frames</t>
  </si>
  <si>
    <t>0.8hrs/m2</t>
  </si>
  <si>
    <t>Unload and stack</t>
  </si>
  <si>
    <t>3 lab hrs/1000</t>
  </si>
  <si>
    <t>Painting around frames</t>
  </si>
  <si>
    <t>3hrs/m</t>
  </si>
  <si>
    <t>MORTAR MIX (per m3)</t>
  </si>
  <si>
    <t>Mix</t>
  </si>
  <si>
    <t>Cement (50kg)</t>
  </si>
  <si>
    <t>Pit Sand (m3)</t>
  </si>
  <si>
    <t>3;1</t>
  </si>
  <si>
    <t>4;1</t>
  </si>
  <si>
    <t>5;1</t>
  </si>
  <si>
    <t>6;1</t>
  </si>
  <si>
    <t>7;1</t>
  </si>
  <si>
    <t>8;1</t>
  </si>
  <si>
    <t>Note: Pit sand - Allow 15% bulk factor</t>
  </si>
  <si>
    <t xml:space="preserve">BRICKWORK </t>
  </si>
  <si>
    <t>1.Mortar required per m2 of walling:</t>
  </si>
  <si>
    <t xml:space="preserve">a. 75mm brick on edge </t>
  </si>
  <si>
    <t>0.02m3</t>
  </si>
  <si>
    <t xml:space="preserve">b. Half brickwall </t>
  </si>
  <si>
    <t>0.028m3</t>
  </si>
  <si>
    <t>c. One brickwall</t>
  </si>
  <si>
    <t>0.06m3</t>
  </si>
  <si>
    <t>d. One and half brickwall</t>
  </si>
  <si>
    <t>0.096m3</t>
  </si>
  <si>
    <t>e. 230 x 230mm clay block wall</t>
  </si>
  <si>
    <t>0.018m3</t>
  </si>
  <si>
    <t>f.  230 x 150mm ditto</t>
  </si>
  <si>
    <t>0.023m3</t>
  </si>
  <si>
    <t>2.Brick per m2 of walling (exclude waste)</t>
  </si>
  <si>
    <t>Commons</t>
  </si>
  <si>
    <t>Facings</t>
  </si>
  <si>
    <t>a. 75mm brick on edge</t>
  </si>
  <si>
    <t>*</t>
  </si>
  <si>
    <t>b. Half brickwall</t>
  </si>
  <si>
    <t>Based on one brickwall</t>
  </si>
  <si>
    <t>d. English bond</t>
  </si>
  <si>
    <t>e. English garden wall bond</t>
  </si>
  <si>
    <t>f.  Colonial bond</t>
  </si>
  <si>
    <t>g. Flemish bond</t>
  </si>
  <si>
    <t>h. Mass brickwork per m3</t>
  </si>
  <si>
    <t>3.MORTAR TO BLOCKWORK (per m2 of walling)</t>
  </si>
  <si>
    <t>a. Nominal 600 x 300mm - 108mm walls</t>
  </si>
  <si>
    <t>0.017m3</t>
  </si>
  <si>
    <t>b. Nominal 450 x 230mm - 108mm walls</t>
  </si>
  <si>
    <t xml:space="preserve">     - 150mm walls</t>
  </si>
  <si>
    <t>0.031m3</t>
  </si>
  <si>
    <t xml:space="preserve">     - 230mm walls</t>
  </si>
  <si>
    <t>0.054m3</t>
  </si>
  <si>
    <t>Hoop irons 24 ggr = 0.6mm = 6.20kg/m3</t>
  </si>
  <si>
    <t>CEMENT MORTAR</t>
  </si>
  <si>
    <t>MIX</t>
  </si>
  <si>
    <t>Materials per m3</t>
  </si>
  <si>
    <t>Lime-25kg</t>
  </si>
  <si>
    <t>Sand m3</t>
  </si>
  <si>
    <t>1;1</t>
  </si>
  <si>
    <t>1;2</t>
  </si>
  <si>
    <t>1;3</t>
  </si>
  <si>
    <t>1;4</t>
  </si>
  <si>
    <t>1;5</t>
  </si>
  <si>
    <t>1;6</t>
  </si>
  <si>
    <t>1;7</t>
  </si>
  <si>
    <t>1;8</t>
  </si>
  <si>
    <t>1;2;9</t>
  </si>
  <si>
    <t>1;2;12</t>
  </si>
  <si>
    <t>MATERIAL</t>
  </si>
  <si>
    <t>CONCRETE GRADE</t>
  </si>
  <si>
    <t>River sand</t>
  </si>
  <si>
    <t>19mm Ag</t>
  </si>
  <si>
    <t>Brick reinforcement per four courses = 2.94m/m2</t>
  </si>
  <si>
    <t>CONCRETING</t>
  </si>
  <si>
    <t>Labour</t>
  </si>
  <si>
    <t>A. Mixing concrete</t>
  </si>
  <si>
    <t>Hourly output</t>
  </si>
  <si>
    <t>Lab output/hour</t>
  </si>
  <si>
    <t>1.75m3</t>
  </si>
  <si>
    <t>3/1.7</t>
  </si>
  <si>
    <t>3.15m3</t>
  </si>
  <si>
    <t>3/1.1</t>
  </si>
  <si>
    <t>3.85m3</t>
  </si>
  <si>
    <t>3/0.8</t>
  </si>
  <si>
    <t>5.25m3</t>
  </si>
  <si>
    <t>5/0.9</t>
  </si>
  <si>
    <t>B. Transport and Place concrete</t>
  </si>
  <si>
    <t>Mass filling</t>
  </si>
  <si>
    <t>2hrs/m3</t>
  </si>
  <si>
    <t>Foundations,bases,ground beams</t>
  </si>
  <si>
    <t>4hrs/m3</t>
  </si>
  <si>
    <t>Slabs</t>
  </si>
  <si>
    <t>6hrs/m3</t>
  </si>
  <si>
    <t>Blinding</t>
  </si>
  <si>
    <t>12hrs/m3</t>
  </si>
  <si>
    <t>Columns below ground</t>
  </si>
  <si>
    <t>Columns not exceeding 4m high</t>
  </si>
  <si>
    <t>Beams not exceeding 4m high</t>
  </si>
  <si>
    <t>10hrs/m3</t>
  </si>
  <si>
    <t>Suspended slabs ditto</t>
  </si>
  <si>
    <t>Isolated small areas</t>
  </si>
  <si>
    <t>Hours to be adjusted accordingly for high level work</t>
  </si>
  <si>
    <t>Curb concrete</t>
  </si>
  <si>
    <t>12m2/hr</t>
  </si>
  <si>
    <t>Powerfloat finish</t>
  </si>
  <si>
    <t>2m2/hr</t>
  </si>
  <si>
    <t>Steel trowelled</t>
  </si>
  <si>
    <t>Fix expansion joints 150mm wide</t>
  </si>
  <si>
    <t>5m/hr</t>
  </si>
  <si>
    <t>Expansion joint filler</t>
  </si>
  <si>
    <t>m3/hr</t>
  </si>
  <si>
    <t>Fix mesh reinforcing</t>
  </si>
  <si>
    <t>5m2/hr</t>
  </si>
  <si>
    <t>FORMWORK</t>
  </si>
  <si>
    <t>Labour - Shuttering gang based on 1 Carpenter and 2 Assistants</t>
  </si>
  <si>
    <t>Hard work and strip formwork to:</t>
  </si>
  <si>
    <t>Gang hours</t>
  </si>
  <si>
    <t>Beams</t>
  </si>
  <si>
    <t>0.85/m2</t>
  </si>
  <si>
    <t>0.75/m2</t>
  </si>
  <si>
    <t>Columns</t>
  </si>
  <si>
    <t>1.15/m2</t>
  </si>
  <si>
    <t>Soffits</t>
  </si>
  <si>
    <t>0.80/m2</t>
  </si>
  <si>
    <t>Narrow widths to edges</t>
  </si>
  <si>
    <t>2.15/m2</t>
  </si>
  <si>
    <t>PLASTERWORK</t>
  </si>
  <si>
    <t>Single coat work (walls) - wood float</t>
  </si>
  <si>
    <t>1+2</t>
  </si>
  <si>
    <t>16m2/day</t>
  </si>
  <si>
    <t>In narrow widths - ditto</t>
  </si>
  <si>
    <t>10m2/day</t>
  </si>
  <si>
    <t>Single coat work (walls) - steel float</t>
  </si>
  <si>
    <t>14m2/day</t>
  </si>
  <si>
    <t>8m2/day</t>
  </si>
  <si>
    <t>Single coat soffits - wood float</t>
  </si>
  <si>
    <t>12m2/day</t>
  </si>
  <si>
    <t>Ditto - steel float</t>
  </si>
  <si>
    <t>Two coat work:</t>
  </si>
  <si>
    <t>1st coat</t>
  </si>
  <si>
    <t>Skim coat</t>
  </si>
  <si>
    <t>23m2/day</t>
  </si>
  <si>
    <t>Floor screeds</t>
  </si>
  <si>
    <t>Narrow widths</t>
  </si>
  <si>
    <t>Precast paving slabs</t>
  </si>
  <si>
    <t>1+3</t>
  </si>
  <si>
    <t>1m2/hr</t>
  </si>
  <si>
    <t>Wall tiling</t>
  </si>
  <si>
    <t>1+1</t>
  </si>
  <si>
    <t>0.5m2/hr</t>
  </si>
  <si>
    <t>GRANO</t>
  </si>
  <si>
    <t>MATERIALS      PER     M3</t>
  </si>
  <si>
    <t xml:space="preserve">CEMENT </t>
  </si>
  <si>
    <t>SAND</t>
  </si>
  <si>
    <t>CHIPS</t>
  </si>
  <si>
    <t>50kg</t>
  </si>
  <si>
    <t>M3</t>
  </si>
  <si>
    <t>1;1;1.05</t>
  </si>
  <si>
    <t>1;1;2</t>
  </si>
  <si>
    <t>Rhinosand</t>
  </si>
  <si>
    <t>8m2/sack(25kg)</t>
  </si>
  <si>
    <t>20m2/sack</t>
  </si>
  <si>
    <t>Rhino bond</t>
  </si>
  <si>
    <t>6m2/sack</t>
  </si>
  <si>
    <t>Cemwash</t>
  </si>
  <si>
    <t>12m2/sack/coat</t>
  </si>
  <si>
    <t>1m3 cment = 30bags</t>
  </si>
  <si>
    <t>PAINTING</t>
  </si>
  <si>
    <t>Paint to ceiling</t>
  </si>
  <si>
    <t>50m2/day</t>
  </si>
  <si>
    <t>Paint to walls</t>
  </si>
  <si>
    <t>60m2/day</t>
  </si>
  <si>
    <t>Paint to frames</t>
  </si>
  <si>
    <t>Paint to timber</t>
  </si>
  <si>
    <t>45m2/day</t>
  </si>
  <si>
    <t>Paint to small pipes</t>
  </si>
  <si>
    <t>25m/hr/coat</t>
  </si>
  <si>
    <t>Paint to large pipes</t>
  </si>
  <si>
    <t>10m/hr/coat</t>
  </si>
  <si>
    <t>NB. Add 10% to labour figures for turps,brushes etc.</t>
  </si>
  <si>
    <t>Paint covering capacities</t>
  </si>
  <si>
    <t>All per 5 litres</t>
  </si>
  <si>
    <t>PVA to boards</t>
  </si>
  <si>
    <t>5 Litres</t>
  </si>
  <si>
    <t>1 Litre</t>
  </si>
  <si>
    <t>30m2</t>
  </si>
  <si>
    <t>6m2</t>
  </si>
  <si>
    <t>2nd coat</t>
  </si>
  <si>
    <t>40m2</t>
  </si>
  <si>
    <t>8m2</t>
  </si>
  <si>
    <t>3rd coat</t>
  </si>
  <si>
    <t>50m2</t>
  </si>
  <si>
    <t>10m2</t>
  </si>
  <si>
    <t>PVA to plaster</t>
  </si>
  <si>
    <t>2nd &amp; 3rd coat</t>
  </si>
  <si>
    <t>PVA to blockwork:</t>
  </si>
  <si>
    <t>35m2</t>
  </si>
  <si>
    <t>7m2</t>
  </si>
  <si>
    <t>45m2</t>
  </si>
  <si>
    <t>9m2</t>
  </si>
  <si>
    <t>paint to 230 steel dr frame size 815x2032 =2.03m2</t>
  </si>
  <si>
    <t>paint to 115 steel dr frame size 815x2032 =1.47m2</t>
  </si>
  <si>
    <t>xs</t>
  </si>
  <si>
    <t>Primer / Uct / Gloss ct etc</t>
  </si>
  <si>
    <t>To steel work:</t>
  </si>
  <si>
    <t xml:space="preserve">     </t>
  </si>
  <si>
    <t>Subsequent</t>
  </si>
  <si>
    <t>To timber:</t>
  </si>
  <si>
    <t>REINFORCEMENT</t>
  </si>
  <si>
    <t>DIAMETER</t>
  </si>
  <si>
    <t>ROUND</t>
  </si>
  <si>
    <t>PLAIN</t>
  </si>
  <si>
    <t>HIGH</t>
  </si>
  <si>
    <t>MILD</t>
  </si>
  <si>
    <t>SQUARE</t>
  </si>
  <si>
    <t xml:space="preserve">YIELD </t>
  </si>
  <si>
    <t>TWIST</t>
  </si>
  <si>
    <t>DEFORMED</t>
  </si>
  <si>
    <t>( R )</t>
  </si>
  <si>
    <t>( X )</t>
  </si>
  <si>
    <t>( Y )</t>
  </si>
  <si>
    <t>6mm</t>
  </si>
  <si>
    <t>6.50mm</t>
  </si>
  <si>
    <t>8mm</t>
  </si>
  <si>
    <t>10mm</t>
  </si>
  <si>
    <t>12mm</t>
  </si>
  <si>
    <t>14mm</t>
  </si>
  <si>
    <t>16mm</t>
  </si>
  <si>
    <t>20mm</t>
  </si>
  <si>
    <t>22mm</t>
  </si>
  <si>
    <t>25mm</t>
  </si>
  <si>
    <t>30mm</t>
  </si>
  <si>
    <t>32mm</t>
  </si>
  <si>
    <t>35mm</t>
  </si>
  <si>
    <t>40mm</t>
  </si>
  <si>
    <t>KGs PER RUNNING METRE</t>
  </si>
  <si>
    <t>1.BASES</t>
  </si>
  <si>
    <t>90kg/m3</t>
  </si>
  <si>
    <t>2.COLUMNS</t>
  </si>
  <si>
    <t>170kg/m3</t>
  </si>
  <si>
    <t>3.WALLS</t>
  </si>
  <si>
    <t>100kg/m3</t>
  </si>
  <si>
    <t>4.SLABS</t>
  </si>
  <si>
    <t>120kg/m3</t>
  </si>
  <si>
    <t>5.BEAMS</t>
  </si>
  <si>
    <t>150kg/m3</t>
  </si>
  <si>
    <t>FABRIC REINFORCEMENT</t>
  </si>
  <si>
    <t>Ref No S245</t>
  </si>
  <si>
    <t>2.45kg/m2</t>
  </si>
  <si>
    <t>Ref No S193</t>
  </si>
  <si>
    <t>1.93kg/m2</t>
  </si>
  <si>
    <t>Ref No S125</t>
  </si>
  <si>
    <t>1.25kg/m2</t>
  </si>
  <si>
    <t>Hoop irons 24 ggr = 0.6mm = 6.20 kg/m3</t>
  </si>
  <si>
    <t>BLOCK PRODUCTION DATA</t>
  </si>
  <si>
    <t>1 Sack cement = 0.034m3</t>
  </si>
  <si>
    <t>1 Barrow = 0.057m3 ( 2 cu ft )</t>
  </si>
  <si>
    <t>Block Volumes</t>
  </si>
  <si>
    <t>( A ) 450 x 220 x 168 hollow      =</t>
  </si>
  <si>
    <t>0.00666m3/block              =             15kg</t>
  </si>
  <si>
    <t>( B ) 450 x 220 x 103 solid        =                 0.01070m3/block               =             30kg</t>
  </si>
  <si>
    <t>( C ) 450 x 220 x 216 hollow      =                 0.00879m3/block               =             27kg</t>
  </si>
  <si>
    <t>Theoretical Mixes</t>
  </si>
  <si>
    <t>Mix 1:6</t>
  </si>
  <si>
    <t>Mix 1:8</t>
  </si>
  <si>
    <t>Mix 1:10</t>
  </si>
  <si>
    <t>Mix 1: 12</t>
  </si>
  <si>
    <t>0.034m3</t>
  </si>
  <si>
    <t>Aggregate</t>
  </si>
  <si>
    <t>0.204m3</t>
  </si>
  <si>
    <t>0.272m3</t>
  </si>
  <si>
    <t>0.340m3</t>
  </si>
  <si>
    <t>0.408m3</t>
  </si>
  <si>
    <t>Practical Equivalents</t>
  </si>
  <si>
    <t>1 sack</t>
  </si>
  <si>
    <t>3.5barrws</t>
  </si>
  <si>
    <t>4.5barrws</t>
  </si>
  <si>
    <t>6 barrows</t>
  </si>
  <si>
    <t>7 barrows</t>
  </si>
  <si>
    <t>Dry Volume</t>
  </si>
  <si>
    <t>Waste 5%</t>
  </si>
  <si>
    <t>Mixed Volume</t>
  </si>
  <si>
    <t>0.155m3</t>
  </si>
  <si>
    <t>0.193m3</t>
  </si>
  <si>
    <t>0.250m3</t>
  </si>
  <si>
    <t>0.288m3</t>
  </si>
  <si>
    <t>for 2870 units</t>
  </si>
  <si>
    <t>SW</t>
  </si>
  <si>
    <t>WG1</t>
  </si>
  <si>
    <t xml:space="preserve">Plant </t>
  </si>
  <si>
    <t>Concrete Mixer</t>
  </si>
  <si>
    <t>Subtotal</t>
  </si>
  <si>
    <t>Maintanance</t>
  </si>
  <si>
    <t xml:space="preserve">Total Cost all in for production of 2870 blocks </t>
  </si>
  <si>
    <t>Cost per Block</t>
  </si>
  <si>
    <t>YIELDS  Per  SACK</t>
  </si>
  <si>
    <t>Mix 1:12</t>
  </si>
  <si>
    <t>A.</t>
  </si>
  <si>
    <t>B.</t>
  </si>
  <si>
    <t>C.</t>
  </si>
  <si>
    <t>Mortar in filling 230mm hollow blocks                0.013m3/block             =         0.124m3/m2</t>
  </si>
  <si>
    <t>Mortar in filling 115mm hollow blocks                0.007m3/block             =         0.067m3/m2</t>
  </si>
  <si>
    <t>ROOFING</t>
  </si>
  <si>
    <t>1+4</t>
  </si>
  <si>
    <t>6sheets/hr</t>
  </si>
  <si>
    <t>Mitring</t>
  </si>
  <si>
    <t>20sheets/hour</t>
  </si>
  <si>
    <t>Fix barge and fascia board</t>
  </si>
  <si>
    <t>Fix IBR roof sheeting</t>
  </si>
  <si>
    <t>6m2/hr</t>
  </si>
  <si>
    <t>Fix tiling battens</t>
  </si>
  <si>
    <t>10m2/3hrs</t>
  </si>
  <si>
    <t>CARPENTRY</t>
  </si>
  <si>
    <t>Fix purlins</t>
  </si>
  <si>
    <t>20m/hr</t>
  </si>
  <si>
    <t>Fix rafters</t>
  </si>
  <si>
    <t>14m/hr</t>
  </si>
  <si>
    <t>Fix trusses ( 8m )</t>
  </si>
  <si>
    <t>4No/day</t>
  </si>
  <si>
    <t>Fix sprockets</t>
  </si>
  <si>
    <t>3m/hr</t>
  </si>
  <si>
    <t>Fix joists</t>
  </si>
  <si>
    <t>15m/hr</t>
  </si>
  <si>
    <t>Fix hangers</t>
  </si>
  <si>
    <t>JOINERY</t>
  </si>
  <si>
    <t>Fix brandering one way</t>
  </si>
  <si>
    <t>3m2/hr</t>
  </si>
  <si>
    <t>Fix ceilings</t>
  </si>
  <si>
    <t>Fix cover strip</t>
  </si>
  <si>
    <t>Fix cornice</t>
  </si>
  <si>
    <t>Fix skirting</t>
  </si>
  <si>
    <t>10m/hr</t>
  </si>
  <si>
    <t>Fix framing</t>
  </si>
  <si>
    <t>6m/hr</t>
  </si>
  <si>
    <t>Cut and fix blocked shelving</t>
  </si>
  <si>
    <t>2hrs/sheet</t>
  </si>
  <si>
    <t>Fix pre-cut shelving</t>
  </si>
  <si>
    <t>Hang doors</t>
  </si>
  <si>
    <t>1No /hr</t>
  </si>
  <si>
    <t>Plugging</t>
  </si>
  <si>
    <t>8plugs/hr</t>
  </si>
  <si>
    <t>Screwing</t>
  </si>
  <si>
    <t>20/hr</t>
  </si>
  <si>
    <t>IRONMONGERY &amp; SUNDRIES</t>
  </si>
  <si>
    <t>Mortice lock</t>
  </si>
  <si>
    <t>1hr/each</t>
  </si>
  <si>
    <t>Indicator lock</t>
  </si>
  <si>
    <t>0.75hrs/each</t>
  </si>
  <si>
    <t>Shelf brackets</t>
  </si>
  <si>
    <t>Allow plugs and screws</t>
  </si>
  <si>
    <t>Curtain track</t>
  </si>
  <si>
    <t>2m/hr</t>
  </si>
  <si>
    <t>Rhinoset coverage</t>
  </si>
  <si>
    <t>14m2/25kg bag</t>
  </si>
  <si>
    <t>Rhinobond coverage</t>
  </si>
  <si>
    <t>6m2/25kg bag</t>
  </si>
  <si>
    <t>Turnall Products</t>
  </si>
  <si>
    <t>Endurites</t>
  </si>
  <si>
    <t>0.875 wide</t>
  </si>
  <si>
    <t>Traffold tiles</t>
  </si>
  <si>
    <t>1.015 wide</t>
  </si>
  <si>
    <t>Brickforce  ( per 4 courses )</t>
  </si>
  <si>
    <t>2.94m/m2</t>
  </si>
  <si>
    <t>Wheelbarrow</t>
  </si>
  <si>
    <t>0.057m3</t>
  </si>
  <si>
    <t>Sack cement</t>
  </si>
  <si>
    <t>a+b</t>
  </si>
  <si>
    <t>xcxdx1.7</t>
  </si>
  <si>
    <t>kg/m2</t>
  </si>
  <si>
    <t>axb</t>
  </si>
  <si>
    <t>where a  - length of tile</t>
  </si>
  <si>
    <t xml:space="preserve">          b  - width of tile</t>
  </si>
  <si>
    <t xml:space="preserve">          c  - thickness of tile</t>
  </si>
  <si>
    <t xml:space="preserve">         d   - average joint width</t>
  </si>
  <si>
    <t>Total cost of Blocks (materils only)</t>
  </si>
  <si>
    <t>MANSIONS AFRICA</t>
  </si>
  <si>
    <t>DATE :</t>
  </si>
  <si>
    <t>FUNDED CONSTRUCTION</t>
  </si>
  <si>
    <t>PROJECT</t>
  </si>
  <si>
    <t>SUBCONTRACT PAYMENT ADVICE</t>
  </si>
  <si>
    <t>No.</t>
  </si>
  <si>
    <t>Preliminary &amp; Generals</t>
  </si>
  <si>
    <t>Value of work done (to date)</t>
  </si>
  <si>
    <t>Less ;  10% Retention</t>
  </si>
  <si>
    <t>Variations</t>
  </si>
  <si>
    <t>Materials On /Off Site</t>
  </si>
  <si>
    <t>Certified value of increased costs (Labour)</t>
  </si>
  <si>
    <t>Gross Total Value</t>
  </si>
  <si>
    <t>Less Previous Payments</t>
  </si>
  <si>
    <t>Less 10% Witholding tax</t>
  </si>
  <si>
    <t>Net Total Value</t>
  </si>
  <si>
    <t>For Office Use  Only</t>
  </si>
  <si>
    <t>Certified in Certificate No.</t>
  </si>
  <si>
    <t xml:space="preserve">Applied in Application No. </t>
  </si>
  <si>
    <t>Prepared by  (QS)</t>
  </si>
  <si>
    <t>………………………………………….</t>
  </si>
  <si>
    <t>Date :</t>
  </si>
  <si>
    <t>……………………</t>
  </si>
  <si>
    <t>Sub-Contractor</t>
  </si>
  <si>
    <t>Checked By</t>
  </si>
  <si>
    <t>…………………………………………</t>
  </si>
  <si>
    <t>Projects Manager</t>
  </si>
  <si>
    <t>Accounts</t>
  </si>
  <si>
    <t>Authorised by</t>
  </si>
  <si>
    <t>General Manager</t>
  </si>
  <si>
    <t>Project QS</t>
  </si>
  <si>
    <t>3600*1800</t>
  </si>
  <si>
    <t xml:space="preserve">SCHEDULE OF MATERIALS FOR THE PROPOSED </t>
  </si>
  <si>
    <t>ITEM</t>
  </si>
  <si>
    <t>DESCRIPTION</t>
  </si>
  <si>
    <t>UNIT</t>
  </si>
  <si>
    <t>QTY</t>
  </si>
  <si>
    <t>PRICE</t>
  </si>
  <si>
    <t>COST</t>
  </si>
  <si>
    <t>NO</t>
  </si>
  <si>
    <t>1.0</t>
  </si>
  <si>
    <t>SUBSTRUCTURE UP TO DPC LEVEL</t>
  </si>
  <si>
    <t xml:space="preserve">PC 15 Cement </t>
  </si>
  <si>
    <t>Bgs</t>
  </si>
  <si>
    <t>River Sand</t>
  </si>
  <si>
    <t>Pit Sand</t>
  </si>
  <si>
    <t>20mm Concrete stone</t>
  </si>
  <si>
    <t>No</t>
  </si>
  <si>
    <t>Roll</t>
  </si>
  <si>
    <t>Black polythene 250 micron</t>
  </si>
  <si>
    <t>230 mm Brickforce 22 M</t>
  </si>
  <si>
    <t>115 mm Brickforce 22 M</t>
  </si>
  <si>
    <t>Imported gravel fill under floating slab</t>
  </si>
  <si>
    <t>2.0</t>
  </si>
  <si>
    <t>SUPERSTRUCTURE BRICKWORK</t>
  </si>
  <si>
    <t>PC 15 Cement for brickwork</t>
  </si>
  <si>
    <t>Bags</t>
  </si>
  <si>
    <t>Common Bricks</t>
  </si>
  <si>
    <t>Air Bricks</t>
  </si>
  <si>
    <t xml:space="preserve">230 mm Brickforce 20m </t>
  </si>
  <si>
    <t>115 mm Brickforce 20 m</t>
  </si>
  <si>
    <t>ROOF COVERINGS AND CARPENTRY</t>
  </si>
  <si>
    <t>METAL WORK</t>
  </si>
  <si>
    <t>Pressed Steel Door Frame</t>
  </si>
  <si>
    <t xml:space="preserve">Frame size 813x 2032 x 115mm </t>
  </si>
  <si>
    <t xml:space="preserve">Frame size 813x 2032 x 230mm </t>
  </si>
  <si>
    <t>STANDARD PRIMED MILD STEEL WINDOW FRAMES</t>
  </si>
  <si>
    <t>JOINERY AND IRON MONGERY</t>
  </si>
  <si>
    <t>DOORS</t>
  </si>
  <si>
    <t xml:space="preserve">44mm External quality semi solid core flush panel doors </t>
  </si>
  <si>
    <t xml:space="preserve">suitable for painting and hung to pressed steel frames </t>
  </si>
  <si>
    <t>Door size 813x2032mm high</t>
  </si>
  <si>
    <t xml:space="preserve">44mm Internal quality semi solid core flush panel doors </t>
  </si>
  <si>
    <t>IRONMONGERY</t>
  </si>
  <si>
    <t>The following ironmongery to be fixed to timber</t>
  </si>
  <si>
    <t>doors and pressed steel frames</t>
  </si>
  <si>
    <t xml:space="preserve">Three lever Union lockset </t>
  </si>
  <si>
    <t xml:space="preserve">Two lever Union lockset </t>
  </si>
  <si>
    <t>Rubber door stop</t>
  </si>
  <si>
    <t>PLUMBING AND DRAINAGE</t>
  </si>
  <si>
    <t>SANITARY FITTINGS</t>
  </si>
  <si>
    <t>NOTE : SCREED IS 1:4 RATIO</t>
  </si>
  <si>
    <t>GLAZING</t>
  </si>
  <si>
    <t>Approved industrial bricks</t>
  </si>
  <si>
    <t>Ant poison (5L)</t>
  </si>
  <si>
    <t>Pairs</t>
  </si>
  <si>
    <t>item</t>
  </si>
  <si>
    <t>TOTAL MATERIAL COST</t>
  </si>
  <si>
    <t>"Union" or similar approved lockset</t>
  </si>
  <si>
    <t xml:space="preserve">TOTAL COST </t>
  </si>
  <si>
    <t>………………………………</t>
  </si>
  <si>
    <t>House for Mr &amp; Mrs Mpofu</t>
  </si>
  <si>
    <t>A</t>
  </si>
  <si>
    <t>B</t>
  </si>
  <si>
    <t xml:space="preserve"> Type NE11</t>
  </si>
  <si>
    <t xml:space="preserve"> Type NE4</t>
  </si>
  <si>
    <t xml:space="preserve"> Type NE1</t>
  </si>
  <si>
    <t xml:space="preserve"> Type NC11F</t>
  </si>
  <si>
    <t xml:space="preserve"> Type ND2F</t>
  </si>
  <si>
    <t xml:space="preserve">WINDOW &amp; DOOR SCHEDULE  FOR THE PROPOSED </t>
  </si>
  <si>
    <t>NDAS</t>
  </si>
  <si>
    <t xml:space="preserve"> Type ND11F</t>
  </si>
  <si>
    <t>2 Hour Firedoor</t>
  </si>
  <si>
    <t>3 Lever Mortice locksets</t>
  </si>
  <si>
    <t>2 Lever Mortice locksets</t>
  </si>
  <si>
    <t>Riversand</t>
  </si>
  <si>
    <t>pairs</t>
  </si>
  <si>
    <t>Pitsand</t>
  </si>
  <si>
    <t>PLASTERING &amp; FLOOR SCREEDS &amp; untinted grano</t>
  </si>
  <si>
    <t>32mm waste pipe</t>
  </si>
  <si>
    <r>
      <t>32mm*90</t>
    </r>
    <r>
      <rPr>
        <sz val="12"/>
        <rFont val="Times New Roman"/>
        <family val="1"/>
      </rPr>
      <t>º inspection bends</t>
    </r>
  </si>
  <si>
    <t>32mm rubber s-trape</t>
  </si>
  <si>
    <t>32mm rubberp-trape</t>
  </si>
  <si>
    <t>15mm elbows</t>
  </si>
  <si>
    <t>15mm Copper Tees</t>
  </si>
  <si>
    <t>Double bowel stainless steel sink</t>
  </si>
  <si>
    <t>15mm Copper straight connectors</t>
  </si>
  <si>
    <t>22mm Copper Pipes</t>
  </si>
  <si>
    <t>15mm copper pipes</t>
  </si>
  <si>
    <t>Additions To Mr. &amp; Mrs N Mabhena's Cottage</t>
  </si>
  <si>
    <t xml:space="preserve">Turnall or similar approved asbestos endurite </t>
  </si>
  <si>
    <t xml:space="preserve"> Type NC4F</t>
  </si>
  <si>
    <t>flush panel doors</t>
  </si>
  <si>
    <t xml:space="preserve">44mm External quality semi solid core </t>
  </si>
  <si>
    <t>44mm Internal quality semi solid core</t>
  </si>
  <si>
    <t>roofing sheets                                             3.6m</t>
  </si>
  <si>
    <t>230 DPC  20m</t>
  </si>
  <si>
    <t>115 DPC  20m</t>
  </si>
  <si>
    <t>MR. &amp; MRS MABHENA</t>
  </si>
  <si>
    <t>Additions to cottage</t>
  </si>
  <si>
    <t>Item</t>
  </si>
  <si>
    <t>Description</t>
  </si>
  <si>
    <t>Cost</t>
  </si>
  <si>
    <t>allied works up to slab level</t>
  </si>
  <si>
    <t>Excavating &amp; building including all</t>
  </si>
  <si>
    <t xml:space="preserve">Building superstructure including </t>
  </si>
  <si>
    <t xml:space="preserve">frames </t>
  </si>
  <si>
    <t>Fixing of roof beams, rafters and</t>
  </si>
  <si>
    <t>laying asbestos endurite roof sheets</t>
  </si>
  <si>
    <t xml:space="preserve">Hanging all doors to appropriate </t>
  </si>
  <si>
    <t>openings and fixing the locksets</t>
  </si>
  <si>
    <t xml:space="preserve">Plastering of walls both externally and </t>
  </si>
  <si>
    <t>internally also including laying a 40mm</t>
  </si>
  <si>
    <t>screed and 20mm untinted grano to</t>
  </si>
  <si>
    <t>appropriate rooms.</t>
  </si>
  <si>
    <t>Glazing with 3mm clear glass to steel</t>
  </si>
  <si>
    <t>sashes .</t>
  </si>
  <si>
    <t xml:space="preserve">supply &amp; building in all window and door </t>
  </si>
  <si>
    <t>Supply and fix quote.</t>
  </si>
  <si>
    <t xml:space="preserve">                                                                    1.8m</t>
  </si>
  <si>
    <t>Ridges</t>
  </si>
  <si>
    <t>Galvanised Flashing (3m*925).4mm</t>
  </si>
  <si>
    <t>Timber 152*38*6.6m</t>
  </si>
  <si>
    <t>3mm thick Clear sheet glass</t>
  </si>
  <si>
    <t>Asbestos Nails</t>
  </si>
  <si>
    <t>Wire nails</t>
  </si>
  <si>
    <t>Girth Collection</t>
  </si>
  <si>
    <t>230mm External wall</t>
  </si>
  <si>
    <t>230mm Verand</t>
  </si>
  <si>
    <t>115mm External wall</t>
  </si>
  <si>
    <t>230mm Internal wall</t>
  </si>
  <si>
    <t>115mm Internal wall</t>
  </si>
  <si>
    <t>Deductions</t>
  </si>
  <si>
    <t>On 230 Ver</t>
  </si>
  <si>
    <t>On 230 Ex</t>
  </si>
  <si>
    <t>On 230 In</t>
  </si>
  <si>
    <t>On 115 Ex</t>
  </si>
  <si>
    <t>On 115 In</t>
  </si>
  <si>
    <t>Height of Brick work</t>
  </si>
  <si>
    <t>On 230 Ve</t>
  </si>
  <si>
    <t>Area of Brick work</t>
  </si>
  <si>
    <t>On 230 Veran</t>
  </si>
  <si>
    <t>Gross Floor Areas</t>
  </si>
  <si>
    <t>Ceramic Tiles</t>
  </si>
  <si>
    <t>Granolithic</t>
  </si>
  <si>
    <t>Carpet</t>
  </si>
  <si>
    <t xml:space="preserve">Gross Floor Area ie Total floor area </t>
  </si>
  <si>
    <t>Roof Construction</t>
  </si>
  <si>
    <t>Floor area</t>
  </si>
  <si>
    <t>Area of Roof</t>
  </si>
  <si>
    <t>Windows</t>
  </si>
  <si>
    <t>Window type</t>
  </si>
  <si>
    <t>Length</t>
  </si>
  <si>
    <t>Height</t>
  </si>
  <si>
    <t>Clear</t>
  </si>
  <si>
    <t>Obscure</t>
  </si>
  <si>
    <t>E7H</t>
  </si>
  <si>
    <t>D11F</t>
  </si>
  <si>
    <t>C4F</t>
  </si>
  <si>
    <t>E1</t>
  </si>
  <si>
    <t>D2FH</t>
  </si>
  <si>
    <t>W8</t>
  </si>
  <si>
    <t>Angle Deg</t>
  </si>
  <si>
    <t xml:space="preserve"> UNIT </t>
  </si>
  <si>
    <t xml:space="preserve"> QNTY </t>
  </si>
  <si>
    <t xml:space="preserve"> RATE </t>
  </si>
  <si>
    <t xml:space="preserve"> AMOUNT </t>
  </si>
  <si>
    <t>stripping 150mm topsoil around site</t>
  </si>
  <si>
    <t xml:space="preserve"> m2 </t>
  </si>
  <si>
    <t>spreading inert materials</t>
  </si>
  <si>
    <t xml:space="preserve"> m3 </t>
  </si>
  <si>
    <t>compaction of inert materials over site</t>
  </si>
  <si>
    <t>100mm depth of 20mm stone to be rolled over site</t>
  </si>
  <si>
    <t>stripping 1m outside perimeter fence</t>
  </si>
  <si>
    <t>115mm common brickwall</t>
  </si>
  <si>
    <t>smooth off-shutter to underside of slab soffit</t>
  </si>
  <si>
    <t>shuttering of roof slab</t>
  </si>
  <si>
    <t>reinforcement of roof slab</t>
  </si>
  <si>
    <t>fix S125 weld mesh in roof slab</t>
  </si>
  <si>
    <t>concreting of roof slab</t>
  </si>
  <si>
    <t>one coat cement plaster to internal brick walls</t>
  </si>
  <si>
    <t>one coat cement plaster to external walls</t>
  </si>
  <si>
    <t>prepare surfaces and apply paint to internal walls</t>
  </si>
  <si>
    <t>apply paint to internal soffit of roof slab</t>
  </si>
  <si>
    <t xml:space="preserve">prepare surfaces and apply paint to external walls, </t>
  </si>
  <si>
    <t>soffits and edges of roof slab</t>
  </si>
  <si>
    <t xml:space="preserve">prepare surfaces and apply water proofing complete </t>
  </si>
  <si>
    <t>with silver paint to top of roof slab</t>
  </si>
  <si>
    <t>paint RLU doors including door frames</t>
  </si>
  <si>
    <t xml:space="preserve"> no. </t>
  </si>
  <si>
    <t>door fixing</t>
  </si>
  <si>
    <t>backfilling of bases</t>
  </si>
  <si>
    <t>compaction of bases</t>
  </si>
  <si>
    <t>SOLUSI</t>
  </si>
  <si>
    <t>Concreting of floor slab</t>
  </si>
  <si>
    <t>MKOBA</t>
  </si>
  <si>
    <t>concreting generator slab</t>
  </si>
  <si>
    <t>ZIMASCO</t>
  </si>
  <si>
    <t>concreting of generator slab</t>
  </si>
  <si>
    <t>LALAPANSI</t>
  </si>
  <si>
    <t xml:space="preserve"> . </t>
  </si>
  <si>
    <t>SHANGANI MINE</t>
  </si>
  <si>
    <t>Excavate foundation trenches</t>
  </si>
  <si>
    <t>Cast the concrete in strip footing foundations</t>
  </si>
  <si>
    <t>230mm brickwork in foundations</t>
  </si>
  <si>
    <t>115mm brickwork in foundations</t>
  </si>
  <si>
    <t>Hardcore, approved non expansive material</t>
  </si>
  <si>
    <t>Concrete to floor slabs</t>
  </si>
  <si>
    <t>Waterproofing</t>
  </si>
  <si>
    <t>strike off and curing</t>
  </si>
  <si>
    <t xml:space="preserve">Setting out </t>
  </si>
  <si>
    <t>230mm common brickwall in internal partitions</t>
  </si>
  <si>
    <t>AMOUNT</t>
  </si>
  <si>
    <t>230mm common brickwall in toilet area</t>
  </si>
  <si>
    <t>230mm common brickwall for the delivery yard area</t>
  </si>
  <si>
    <t>Build in frames Including door and window frames</t>
  </si>
  <si>
    <t>paint and apply 1u/coat &amp; 2 coats doors including</t>
  </si>
  <si>
    <t>door frames and window frames.</t>
  </si>
  <si>
    <t>7;;]</t>
  </si>
  <si>
    <t>MACO BUILDERS</t>
  </si>
  <si>
    <t xml:space="preserve">Address : 18 Browning road Malindela Bulawayo. </t>
  </si>
  <si>
    <t>Phone : (09) 243107-8</t>
  </si>
  <si>
    <t>26/03/2014</t>
  </si>
  <si>
    <t xml:space="preserve">Main-Contractor Valuation Account </t>
  </si>
  <si>
    <t>CONTRACTOR</t>
  </si>
  <si>
    <t xml:space="preserve">CONTRACT WORK </t>
  </si>
  <si>
    <t>OFFICE RENOVATIONS</t>
  </si>
  <si>
    <t>Contract sum</t>
  </si>
  <si>
    <t>Additions</t>
  </si>
  <si>
    <t>Variations (tiles in lieu of epoxy)</t>
  </si>
  <si>
    <t>Generator shed</t>
  </si>
  <si>
    <t>psand</t>
  </si>
  <si>
    <t>8.4m2/day</t>
  </si>
  <si>
    <t>Plastering</t>
  </si>
  <si>
    <t>7/5 mixer (200l)</t>
  </si>
  <si>
    <t>10/7 mixer (285l)</t>
  </si>
  <si>
    <t>14/10 mixer (400l)</t>
  </si>
  <si>
    <t>21/14 mixer (600l)</t>
  </si>
  <si>
    <t>115mm brickforce</t>
  </si>
  <si>
    <t>230mm Brickforce</t>
  </si>
  <si>
    <t> Tasks</t>
  </si>
  <si>
    <t>Unit</t>
  </si>
  <si>
    <t>Tradesman Hours</t>
  </si>
  <si>
    <t>Labourer Hours</t>
  </si>
  <si>
    <t>Wall linings</t>
  </si>
  <si>
    <t>10mm Gib® standard plasterboard (fix only)</t>
  </si>
  <si>
    <t>10mm Gib® Braceline (fix only)</t>
  </si>
  <si>
    <t>13mm Gib® standard plasterboard (fix only)</t>
  </si>
  <si>
    <t>16mm Gib® standard plasterboard (fix only)</t>
  </si>
  <si>
    <t>19mm Gib® standard plasterboard (fix only)</t>
  </si>
  <si>
    <t>Stopping of standard plasterboard</t>
  </si>
  <si>
    <t>4.75mm, 6mm hardboard</t>
  </si>
  <si>
    <t>12mm Pinex softboard</t>
  </si>
  <si>
    <t>4.5mm Hardiflex</t>
  </si>
  <si>
    <t>4.75mm plastic covered wallboard</t>
  </si>
  <si>
    <t>7.5mm, 9mm plywood</t>
  </si>
  <si>
    <t>13mm Pinex panels</t>
  </si>
  <si>
    <t>13mm Pinex acoustic tiles</t>
  </si>
  <si>
    <t>Extra values on linings, for</t>
  </si>
  <si>
    <t>Screw fixing</t>
  </si>
  <si>
    <t>Glue fixing</t>
  </si>
  <si>
    <t>PVC Jointers</t>
  </si>
  <si>
    <t>Wall strapping</t>
  </si>
  <si>
    <t>50mm x 25mm at 300mm centres</t>
  </si>
  <si>
    <t>75mm x 25mm at 300mm centres</t>
  </si>
  <si>
    <t>50mm x 25mm at 600mm centres</t>
  </si>
  <si>
    <t>75mm x 25mm at 600mm centres</t>
  </si>
  <si>
    <t>50mm x 25mm at 600mm centres on concrete</t>
  </si>
  <si>
    <t>Ceiling linings</t>
  </si>
  <si>
    <t>4.5mm fibre cement</t>
  </si>
  <si>
    <t>4.75m Seratone</t>
  </si>
  <si>
    <t>Ceiling strapping</t>
  </si>
  <si>
    <t>Task / Description</t>
  </si>
  <si>
    <t>Slow  </t>
  </si>
  <si>
    <t>Ave  </t>
  </si>
  <si>
    <t>Fast  </t>
  </si>
  <si>
    <t> Units</t>
  </si>
  <si>
    <t> Timber Studding</t>
  </si>
  <si>
    <t>5.9 </t>
  </si>
  <si>
    <t>6.2 </t>
  </si>
  <si>
    <t>6.8 </t>
  </si>
  <si>
    <t> m/hr</t>
  </si>
  <si>
    <t> Metalwork System (MF) Studding</t>
  </si>
  <si>
    <t>1.6 </t>
  </si>
  <si>
    <t>2.0 </t>
  </si>
  <si>
    <t>2.5 </t>
  </si>
  <si>
    <t> m2/hr</t>
  </si>
  <si>
    <t> Tape, Joint Sand and Top Coat Plasterboard</t>
  </si>
  <si>
    <t>1.1 </t>
  </si>
  <si>
    <t>1.5 </t>
  </si>
  <si>
    <t>2.1 </t>
  </si>
  <si>
    <t> Skimming to Plasterboards</t>
  </si>
  <si>
    <t>5.5 </t>
  </si>
  <si>
    <t>6.1 </t>
  </si>
  <si>
    <t>6.7 </t>
  </si>
  <si>
    <t> 5mm Hardboard Paneling, excluding studding time</t>
  </si>
  <si>
    <t>-  </t>
  </si>
  <si>
    <t>3.2 </t>
  </si>
  <si>
    <t>3.6 </t>
  </si>
  <si>
    <t> 100mm Pine Paneling, excluding studding time</t>
  </si>
  <si>
    <t>0.8 </t>
  </si>
  <si>
    <t>1.4 </t>
  </si>
  <si>
    <t> Quality Hardwood Paneling, excluding studding time</t>
  </si>
  <si>
    <t>0.3 </t>
  </si>
  <si>
    <t>0.5 </t>
  </si>
  <si>
    <t>0.6 </t>
  </si>
  <si>
    <t> Fix 50mm Rocksil Insulation to cavities</t>
  </si>
  <si>
    <t>17.8 </t>
  </si>
  <si>
    <t>20.2 </t>
  </si>
  <si>
    <t> Fix Timber Studding and Paramount Partitions</t>
  </si>
  <si>
    <t>2.6 </t>
  </si>
  <si>
    <t>3.0 </t>
  </si>
  <si>
    <t>3.4 </t>
  </si>
  <si>
    <t> Fix Timber Studding and Demountable Partitions</t>
  </si>
  <si>
    <t> Fix Timber Studding and Hills Duraboard Partitions</t>
  </si>
  <si>
    <t>3.5 </t>
  </si>
  <si>
    <t>3.9 </t>
  </si>
  <si>
    <t> Fix Timber Studding and Gyproc Laminated Partitions</t>
  </si>
  <si>
    <t>2.2 </t>
  </si>
  <si>
    <t>2.9 </t>
  </si>
  <si>
    <t> Stud Partitions, Butt Jointed, nailed</t>
  </si>
  <si>
    <t>7.3 </t>
  </si>
  <si>
    <t>9.1 </t>
  </si>
  <si>
    <t> Stud Partitions, Butt Jointed, screwed</t>
  </si>
  <si>
    <t>4.6 </t>
  </si>
  <si>
    <t>5.8 </t>
  </si>
  <si>
    <t> Stud Partitions, T&amp;G Jointed, nailed</t>
  </si>
  <si>
    <t>4.8 </t>
  </si>
  <si>
    <t> Stud Partitions, T&amp;G Jointed, screwed</t>
  </si>
  <si>
    <t>2.8 </t>
  </si>
  <si>
    <t>3.7 </t>
  </si>
  <si>
    <t> Stud Partitions, Fix Sole Plates</t>
  </si>
  <si>
    <t>11.1 </t>
  </si>
  <si>
    <t> Stud Partitions, Fix Noggins</t>
  </si>
  <si>
    <t>16.6 </t>
  </si>
  <si>
    <t> Stud Partitions, Drill 25-40mm Holes</t>
  </si>
  <si>
    <t>28.5 </t>
  </si>
  <si>
    <t> no/hr</t>
  </si>
  <si>
    <t> Fix Toilet Partition System, Separation panels</t>
  </si>
  <si>
    <t> hrs/no</t>
  </si>
  <si>
    <t> Fix Toilet Partition System, Wall Front Panels</t>
  </si>
  <si>
    <t>0.7 </t>
  </si>
  <si>
    <t> Fix Toilet Partition System, Separation Front Panels</t>
  </si>
  <si>
    <t> Fix Toilet Partition System, End Front Panels</t>
  </si>
  <si>
    <t> Fix Toilet Partition System, Hang Door to Panel</t>
  </si>
  <si>
    <t>0.4 </t>
  </si>
  <si>
    <t> Fix Toilet Partition System, Hand Door plugged to wall</t>
  </si>
  <si>
    <t> Fix Toilet Partition System, Fix Head Rails</t>
  </si>
  <si>
    <t>0.1 </t>
  </si>
  <si>
    <t>Carpentry - Partitioning</t>
  </si>
  <si>
    <t>Exterior Linings and Trim</t>
  </si>
  <si>
    <t>Weatherboards</t>
  </si>
  <si>
    <t>Bevel back</t>
  </si>
  <si>
    <t>150mm x 25mm</t>
  </si>
  <si>
    <t>200mm x 25mm</t>
  </si>
  <si>
    <t>Vertical shiplap</t>
  </si>
  <si>
    <t>Rusticated</t>
  </si>
  <si>
    <t>PVC</t>
  </si>
  <si>
    <t>Fibre cement sheathing, including PVC jointers</t>
  </si>
  <si>
    <t>4.5mm flat sheets</t>
  </si>
  <si>
    <t>6mm flat sheets</t>
  </si>
  <si>
    <t>7.5mm flat sheets</t>
  </si>
  <si>
    <t>7.5mm weatherboards</t>
  </si>
  <si>
    <t>Building paper and insulation</t>
  </si>
  <si>
    <t>Building paper</t>
  </si>
  <si>
    <t>Sisalation</t>
  </si>
  <si>
    <t>Batts between wall framing</t>
  </si>
  <si>
    <t>Batts in ceiling</t>
  </si>
  <si>
    <t>Eaves soffit lining</t>
  </si>
  <si>
    <t>4.5mm and 6mm fibre cement</t>
  </si>
  <si>
    <t>Deck sheathing</t>
  </si>
  <si>
    <t>100mm x 25mm timber sheathing</t>
  </si>
  <si>
    <t>100mm x 25mm hardwood</t>
  </si>
  <si>
    <t>12mm fibre cement (screw fixed)</t>
  </si>
  <si>
    <t>Exterior finishings</t>
  </si>
  <si>
    <t>150mm x 25mm, 200mm x 25mm fascia</t>
  </si>
  <si>
    <t>200mm x 40mm fascia</t>
  </si>
  <si>
    <t>50mm x 25mm, 75mm x 25mm,</t>
  </si>
  <si>
    <t>100mm x 25mm fascia</t>
  </si>
  <si>
    <t>25mm x 25mm, 40mm x 25mm,</t>
  </si>
  <si>
    <t>50mm x 25mm beads, etc</t>
  </si>
  <si>
    <t>Carpentry-Exterior Trims</t>
  </si>
  <si>
    <t>Ceiling joist</t>
  </si>
  <si>
    <t>100mm x 50mm</t>
  </si>
  <si>
    <t>150mm x 50mm</t>
  </si>
  <si>
    <t>Ceiling dwang</t>
  </si>
  <si>
    <t>50mm x 25mm</t>
  </si>
  <si>
    <t>100mm x 25mm</t>
  </si>
  <si>
    <t>Rafter</t>
  </si>
  <si>
    <t>200mm x 50mm</t>
  </si>
  <si>
    <t>Collar tie</t>
  </si>
  <si>
    <t>Strut and brace</t>
  </si>
  <si>
    <t>100mm x 75mm</t>
  </si>
  <si>
    <t>Purlin</t>
  </si>
  <si>
    <t>75mm x 50mm</t>
  </si>
  <si>
    <t>Eaves framing</t>
  </si>
  <si>
    <t>Fascia</t>
  </si>
  <si>
    <t>Ridge board</t>
  </si>
  <si>
    <t>Valley board</t>
  </si>
  <si>
    <t>Beams and Lintels</t>
  </si>
  <si>
    <t>300mm x 75mm</t>
  </si>
  <si>
    <t>200mm x 100mm</t>
  </si>
  <si>
    <t>300mm x 100mm</t>
  </si>
  <si>
    <t>Posts</t>
  </si>
  <si>
    <t>100mm x 100mm</t>
  </si>
  <si>
    <t>Prefabricated roof trusses, erection only</t>
  </si>
  <si>
    <t>6m span</t>
  </si>
  <si>
    <t>9m span</t>
  </si>
  <si>
    <t>12m span</t>
  </si>
  <si>
    <t>Carpentry-Roof and Ceiling Framing</t>
  </si>
  <si>
    <t>Bracing</t>
  </si>
  <si>
    <t>Metal angle diagonal bracing</t>
  </si>
  <si>
    <t>Plywood sheet bracing checked in flush</t>
  </si>
  <si>
    <t>0.9 </t>
  </si>
  <si>
    <t>Plywood sheet bracing fixed over framing</t>
  </si>
  <si>
    <t>Carpentry-Bracing</t>
  </si>
  <si>
    <t>Wall Framing</t>
  </si>
  <si>
    <t>Plate</t>
  </si>
  <si>
    <t>Stud</t>
  </si>
  <si>
    <t>Jack stud</t>
  </si>
  <si>
    <t>Dwang</t>
  </si>
  <si>
    <t>Lintel</t>
  </si>
  <si>
    <t>150mm x 100mm</t>
  </si>
  <si>
    <t>250mm x 100mm</t>
  </si>
  <si>
    <t>Metal studs 64mm</t>
  </si>
  <si>
    <t>Carpentry-Wall Framing</t>
  </si>
  <si>
    <t>Sub Floor Framing</t>
  </si>
  <si>
    <t>Bearer</t>
  </si>
  <si>
    <t>125mm x 100mm</t>
  </si>
  <si>
    <t>Joist</t>
  </si>
  <si>
    <t>250mm x 50mm</t>
  </si>
  <si>
    <t>300mm x 50mm</t>
  </si>
  <si>
    <t>Solid blocking</t>
  </si>
  <si>
    <t>Beam</t>
  </si>
  <si>
    <t>Carpenty-Sub Floor Framing</t>
  </si>
  <si>
    <t>Tongued and grooved flooring </t>
  </si>
  <si>
    <t>1.00-1.25</t>
  </si>
  <si>
    <t>100mm x 25mm end matched</t>
  </si>
  <si>
    <t>0.75-1.00</t>
  </si>
  <si>
    <t>Particle board</t>
  </si>
  <si>
    <t>2400mm x 1200mm x 20mm sheet</t>
  </si>
  <si>
    <t>3600mm x 1200mm x 20mm sheet</t>
  </si>
  <si>
    <t>3600mm x 1800mm x 20mm sheet</t>
  </si>
  <si>
    <t>Plywood flooring</t>
  </si>
  <si>
    <t>2400mm x 1200mm x 17.5mm sheet</t>
  </si>
  <si>
    <t>2400mm x 1200mm x 21mm sheet</t>
  </si>
  <si>
    <t>Carpentry-Flooring</t>
  </si>
  <si>
    <t> Asphalt coatings, horizontal surfaces</t>
  </si>
  <si>
    <t>4.2 </t>
  </si>
  <si>
    <t> Asphalt coatings, vertical surfaces</t>
  </si>
  <si>
    <t>1.2 </t>
  </si>
  <si>
    <t>1.7 </t>
  </si>
  <si>
    <t> Bituminous Brushed application, 2 coats</t>
  </si>
  <si>
    <t>5.0 </t>
  </si>
  <si>
    <t>6.3 </t>
  </si>
  <si>
    <t> Bituminous Brushed application, 3 coats</t>
  </si>
  <si>
    <t>3.3 </t>
  </si>
  <si>
    <t>4.4 </t>
  </si>
  <si>
    <t> Bituminous Sheets, horizontal surfaces</t>
  </si>
  <si>
    <t>3.8 </t>
  </si>
  <si>
    <t>4.0 </t>
  </si>
  <si>
    <t> Bituminous Sheets, vertical surfaces</t>
  </si>
  <si>
    <t> Polythene Sheets, horizontal surfaces</t>
  </si>
  <si>
    <t>20.0 </t>
  </si>
  <si>
    <t> Bentonite Sheets, horizontal surfaces</t>
  </si>
  <si>
    <t>18.7 </t>
  </si>
  <si>
    <t>25.0 </t>
  </si>
  <si>
    <t>31.3 </t>
  </si>
  <si>
    <t> Bentonite Sheets, vertical surfaces</t>
  </si>
  <si>
    <t>11.2 </t>
  </si>
  <si>
    <t>15.0 </t>
  </si>
  <si>
    <t>17.3 </t>
  </si>
  <si>
    <t> Epoxy Based application, 1 coat</t>
  </si>
  <si>
    <t>75.0 </t>
  </si>
  <si>
    <t> Epoxy Based application, 2 coat</t>
  </si>
  <si>
    <t>38.0 </t>
  </si>
  <si>
    <t>Carpentry-Water Proofing</t>
  </si>
  <si>
    <t>Doors &amp; Frames Fixings</t>
  </si>
  <si>
    <t>Tasks</t>
  </si>
  <si>
    <t>Timber frame to suit door size</t>
  </si>
  <si>
    <t>1980mm x 760mm, in stud wall</t>
  </si>
  <si>
    <t>Hollow core flush door, size</t>
  </si>
  <si>
    <t>1980mm x 760mm on two hinges</t>
  </si>
  <si>
    <t>1980mm x 760mm on three hinges</t>
  </si>
  <si>
    <t>Solid core flush door, size</t>
  </si>
  <si>
    <t>1980mm x 760mm on four hinges</t>
  </si>
  <si>
    <t>Panelled, framed and glazed door, size</t>
  </si>
  <si>
    <t>Roller shutters</t>
  </si>
  <si>
    <t>Domestic shutter, 2100mm x 2400mm wide</t>
  </si>
  <si>
    <t>Industrial shutter, 3000mm x 3000mm wide</t>
  </si>
  <si>
    <t>Interior Finishings</t>
  </si>
  <si>
    <t>General finishes</t>
  </si>
  <si>
    <t> Interior Finishings</t>
  </si>
  <si>
    <t>Skirtings</t>
  </si>
  <si>
    <t>Architraves</t>
  </si>
  <si>
    <t>Cornices</t>
  </si>
  <si>
    <t>Sill boards</t>
  </si>
  <si>
    <t> Windows, Softwood, 3.0-7.0m2</t>
  </si>
  <si>
    <t> Windows, Softwood, 7.0-10.0m2</t>
  </si>
  <si>
    <t>1.3 </t>
  </si>
  <si>
    <t> Windows, Hardwood, 1.0-3.0m2</t>
  </si>
  <si>
    <t> Windows, Hardwood, 3.0-7.0m2</t>
  </si>
  <si>
    <t> Windows, Hardwood, 7.0-10.0m2</t>
  </si>
  <si>
    <t> Windows, Aluminum, 1.0-3.0m2</t>
  </si>
  <si>
    <t>0.2 </t>
  </si>
  <si>
    <t> Windows, Aluminum, 3.0-7.0m2</t>
  </si>
  <si>
    <t> Windows, Aluminum, 7.0-10.0m2</t>
  </si>
  <si>
    <t> Windows, Steel, 1.0-3.0m2</t>
  </si>
  <si>
    <t> Windows, Steel, 3.0-7.0m2</t>
  </si>
  <si>
    <t> Windows, Steel, 7.0-10.0m2</t>
  </si>
  <si>
    <t>1.0 </t>
  </si>
  <si>
    <t> Window Boards, nailed</t>
  </si>
  <si>
    <t> hrs/m</t>
  </si>
  <si>
    <t> Window Boards, screwed</t>
  </si>
  <si>
    <t> Mouldings, Softwood, Nailed</t>
  </si>
  <si>
    <t>8.5 </t>
  </si>
  <si>
    <t> Mouldings, Softwood, Screwed</t>
  </si>
  <si>
    <t>5.6 </t>
  </si>
  <si>
    <t> Mouldings, Softwood, Gun Nailed</t>
  </si>
  <si>
    <t>8.2 </t>
  </si>
  <si>
    <t> Mouldings, Hardwood, Nailed</t>
  </si>
  <si>
    <t> Mouldings, Hardwood, Screwed</t>
  </si>
  <si>
    <t>2.4 </t>
  </si>
  <si>
    <t> Mouldings, Hardwood, Gun Nailed</t>
  </si>
  <si>
    <t>11.3 </t>
  </si>
  <si>
    <t> Skirting, Aluminum, Screwed 150-300mm centres</t>
  </si>
  <si>
    <t>7.6 </t>
  </si>
  <si>
    <t> Skirting, Aluminum, Screwed 300-450mm centres</t>
  </si>
  <si>
    <t>4.5 </t>
  </si>
  <si>
    <t> Skirting, Plastic, Adhesive Fixing</t>
  </si>
  <si>
    <t>8.6 </t>
  </si>
  <si>
    <t> Architrave Mouldings</t>
  </si>
  <si>
    <t>9.5 </t>
  </si>
  <si>
    <t>12.2 </t>
  </si>
  <si>
    <t>18.2 </t>
  </si>
  <si>
    <t> Architrave, Fix to Doors</t>
  </si>
  <si>
    <t> hrs/door</t>
  </si>
  <si>
    <t> Door Stop Mouldings</t>
  </si>
  <si>
    <t>10.1 </t>
  </si>
  <si>
    <t>16.9 </t>
  </si>
  <si>
    <t> Glazed Bead Mouldings</t>
  </si>
  <si>
    <t>15.5 </t>
  </si>
  <si>
    <t>18.6 </t>
  </si>
  <si>
    <t>20.4 </t>
  </si>
  <si>
    <t> Hanging Doors, Softwood, Single Pair Butts</t>
  </si>
  <si>
    <t> Hanging Doors, Hardwood, Single Pair Butts</t>
  </si>
  <si>
    <t>1.9 </t>
  </si>
  <si>
    <t> Cut Mortice to Receive Lock, Softwood</t>
  </si>
  <si>
    <t> Cut Mortice to Receive Lock, Hardwood</t>
  </si>
  <si>
    <t> Cut &amp; Fix Formica Bath Panel</t>
  </si>
  <si>
    <t> Kitchen Cupboards, Floor Units</t>
  </si>
  <si>
    <t> Kitchen Cupboards, Wall Units</t>
  </si>
  <si>
    <t> Kitchen Cupboards, Shelf Units</t>
  </si>
  <si>
    <t> Staircase, pre-made, simple, straight flight</t>
  </si>
  <si>
    <t> Staircase, pre-made, 2 straight flights, 1 landing</t>
  </si>
  <si>
    <t> Staircase, pre-made, 2 straight flights, 2 landings</t>
  </si>
  <si>
    <t> Staircase, Balustrades/Handrails, fix horizontal</t>
  </si>
  <si>
    <t> Staircase, Balustrades/Handrails, fix raking</t>
  </si>
  <si>
    <t> Staircase, Cut and Fix Newel to Walls</t>
  </si>
  <si>
    <t> Windows, Softwood, 1.0-3.0m2</t>
  </si>
  <si>
    <t> Raised Flooring, metal system</t>
  </si>
  <si>
    <t>Carcassing</t>
  </si>
  <si>
    <t> Windows, Timber Frames for Bricklaying</t>
  </si>
  <si>
    <t> Windows, Drill, Screw &amp; Plug extra over</t>
  </si>
  <si>
    <t> Door Frames, Softwood, 1.0-3.0m2</t>
  </si>
  <si>
    <t> Door Frames, Softwood, 3.0-7.0m2</t>
  </si>
  <si>
    <t> Door Frames, Softwood, 7.0-10.0m2</t>
  </si>
  <si>
    <t> Door Frames, Hardwood, 1.0-3.0m2</t>
  </si>
  <si>
    <t> Door Frames, Hardwood, 3.0-7.0m2</t>
  </si>
  <si>
    <t> Door Frames, Hardwood, 7.0-10.0m2</t>
  </si>
  <si>
    <t> Erect Water Tank Platform</t>
  </si>
  <si>
    <t>2.3 </t>
  </si>
  <si>
    <t> Fix Studding For Bath</t>
  </si>
  <si>
    <t> Cut Access Hatch</t>
  </si>
  <si>
    <t> Floor Joists, under 3m</t>
  </si>
  <si>
    <t>9.0 </t>
  </si>
  <si>
    <t>9.6 </t>
  </si>
  <si>
    <t>11.6 </t>
  </si>
  <si>
    <t> Floor Joists, 3.0-4.5m</t>
  </si>
  <si>
    <t>7.2 </t>
  </si>
  <si>
    <t>9.7 </t>
  </si>
  <si>
    <t> Floor Joists, 4.5-6.0m</t>
  </si>
  <si>
    <t> Ceiling Joists, under 3m</t>
  </si>
  <si>
    <t>12.8 </t>
  </si>
  <si>
    <t>14.0 </t>
  </si>
  <si>
    <t>14.7 </t>
  </si>
  <si>
    <t> Ceiling Joists, 3.0-4.5m</t>
  </si>
  <si>
    <t>10.8 </t>
  </si>
  <si>
    <t>12.1 </t>
  </si>
  <si>
    <t>12.6 </t>
  </si>
  <si>
    <t> Ceiling Joists, 4.5-6.0m</t>
  </si>
  <si>
    <t> Ceiling Joists, Notch to Beams</t>
  </si>
  <si>
    <t> Ceiling Joists, Pack Joist Ends</t>
  </si>
  <si>
    <t>20.1 </t>
  </si>
  <si>
    <t>23.8 </t>
  </si>
  <si>
    <t>26.3 </t>
  </si>
  <si>
    <t> Ceiling Joists, Nailing Joists together</t>
  </si>
  <si>
    <t>23.0 </t>
  </si>
  <si>
    <t> Ceiling Joists, Bolting Joists Together</t>
  </si>
  <si>
    <t> Floor Boards, Butt Jointed</t>
  </si>
  <si>
    <t> Floor Boards, T&amp;G Boards, under 75mm wide</t>
  </si>
  <si>
    <t> Floor Boards, T&amp;G Boards, 75-100mm wide</t>
  </si>
  <si>
    <t> Floor Boards, T&amp;G Boards, 100-125mm wide</t>
  </si>
  <si>
    <t> Floor Boards, T&amp;G Boards, 125-150mm wide</t>
  </si>
  <si>
    <t> Plywood Sheeting, Butt Jointed, nailed</t>
  </si>
  <si>
    <t>10.2 </t>
  </si>
  <si>
    <t> Plywood Sheeting, Butt Jointed, screwed</t>
  </si>
  <si>
    <t>4.1 </t>
  </si>
  <si>
    <t> Plywood Sheeting, T&amp;G Jointed, nailed</t>
  </si>
  <si>
    <t>8.3 </t>
  </si>
  <si>
    <t> Plywood Sheeting, T&amp;G Jointed, screwed</t>
  </si>
  <si>
    <t> Chipboard Sheeting, Butt Jointed, nailed</t>
  </si>
  <si>
    <t>10.0 </t>
  </si>
  <si>
    <t>11.5 </t>
  </si>
  <si>
    <t> Chipboard Sheeting, Butt Jointed, screwed</t>
  </si>
  <si>
    <t>5.1 </t>
  </si>
  <si>
    <t> Chipboard Sheeting, T&amp;G Jointed, nailed</t>
  </si>
  <si>
    <t>9.3 </t>
  </si>
  <si>
    <t> Chipboard Sheeting, T&amp;G Jointed, screwed</t>
  </si>
  <si>
    <t>Commercial Kitchen</t>
  </si>
  <si>
    <t> Overall Installation for 100 persons or 50m2</t>
  </si>
  <si>
    <t> wks</t>
  </si>
  <si>
    <t> Overall Installation for 500 persons or 150m2</t>
  </si>
  <si>
    <t> Overall Installation for 1000 persons or 250m2</t>
  </si>
  <si>
    <t>8.0 </t>
  </si>
  <si>
    <t> Install Ovens, friers and large mixers etc</t>
  </si>
  <si>
    <t> mandays</t>
  </si>
  <si>
    <t> Install Sinks, bain maries and washers etc</t>
  </si>
  <si>
    <t>Suspended Ceilings</t>
  </si>
  <si>
    <t> Suspended Ceilings, office situations</t>
  </si>
  <si>
    <t> Suspended Ceilings, First Fix</t>
  </si>
  <si>
    <t> Suspended Ceilings, Second Fix</t>
  </si>
  <si>
    <t>Hardware, Fix Only</t>
  </si>
  <si>
    <t>Lockset and furniture</t>
  </si>
  <si>
    <t>Set</t>
  </si>
  <si>
    <t>Surface mounted closer</t>
  </si>
  <si>
    <t>Concealed closer</t>
  </si>
  <si>
    <t>Fixings</t>
  </si>
  <si>
    <t>Drill brick wall for 12mm dia. masonry anchor</t>
  </si>
  <si>
    <t>Drill concrete wall for 12mm dia. masonry anchor</t>
  </si>
  <si>
    <t>Drill timber for 6/12mm dia. bolt</t>
  </si>
  <si>
    <t>Drill steel angle for 6/12mm dia. bolt</t>
  </si>
  <si>
    <t>Staircases</t>
  </si>
  <si>
    <t>Timber staircase, comprising strings, treads, landing</t>
  </si>
  <si>
    <t>m/rise</t>
  </si>
  <si>
    <t>supports and balustrades</t>
  </si>
  <si>
    <t>Handrail, 150mm x 50mm fixed to steel, including ramps</t>
  </si>
  <si>
    <t>and wreaths</t>
  </si>
  <si>
    <t>Cupboards, Shelving</t>
  </si>
  <si>
    <t> Unit</t>
  </si>
  <si>
    <t>Cupboards, fabricate and fix</t>
  </si>
  <si>
    <t>Standard kitchen cupboard, 450mm wide x 900mm high</t>
  </si>
  <si>
    <t>Shelving, 225mm x 25mm, fixed to framing</t>
  </si>
  <si>
    <t>Joinery</t>
  </si>
  <si>
    <t>Items</t>
  </si>
  <si>
    <t>Flashings, Downpipes, Gutters</t>
  </si>
  <si>
    <t>Cover or apron flashing, sheet steel/aluminium</t>
  </si>
  <si>
    <t>200mm-500mm girth</t>
  </si>
  <si>
    <t>500mm-800mm girth</t>
  </si>
  <si>
    <t>Downpipe with metal brackets at 900mm centres</t>
  </si>
  <si>
    <t>Sheet steel 100mm dia</t>
  </si>
  <si>
    <t>PVC 100mm dia</t>
  </si>
  <si>
    <t>Bend to steel or PVC</t>
  </si>
  <si>
    <t>Eaves gutter with metal brackets, straps at 900mm centres</t>
  </si>
  <si>
    <t>Standard sheet steel / aluminium</t>
  </si>
  <si>
    <t>Standard PVC</t>
  </si>
  <si>
    <t>Box gutter, sheet steel/aluminium, with metal straps/</t>
  </si>
  <si>
    <t>brackets at 900mm centres</t>
  </si>
  <si>
    <t>600mm-800mm girth</t>
  </si>
  <si>
    <t>1000mm-1200mm girth</t>
  </si>
  <si>
    <t> UPVC Downpipes, 75mm</t>
  </si>
  <si>
    <t> UPVC Guttering, 75mm</t>
  </si>
  <si>
    <t>3.1 </t>
  </si>
  <si>
    <t> UPVC RWP Fittings, 75mm</t>
  </si>
  <si>
    <t> Cast Iron Downpipes, 75mm</t>
  </si>
  <si>
    <t> Cast Iron Guttering, 75mm</t>
  </si>
  <si>
    <t> Cast Iron RWP Fittings, 75mm</t>
  </si>
  <si>
    <t> Aluminium Downpipes, 72mm</t>
  </si>
  <si>
    <t> Aluminium Guttering, 72mm</t>
  </si>
  <si>
    <t> Aluminium RWP Fittings, 72mm</t>
  </si>
  <si>
    <t xml:space="preserve"> Flashings, Downpipes &amp; Gutters</t>
  </si>
  <si>
    <t xml:space="preserve"> Eaves gutter with metal brackets, straps at 900mm centres</t>
  </si>
  <si>
    <t>Timber Frames</t>
  </si>
  <si>
    <t> Roof Trusses</t>
  </si>
  <si>
    <t> Wall Plates</t>
  </si>
  <si>
    <t>2.7 </t>
  </si>
  <si>
    <t> Roof Rafters</t>
  </si>
  <si>
    <t> Ceiling Joists</t>
  </si>
  <si>
    <t>32.1 </t>
  </si>
  <si>
    <t> Roof Carcass, Common Rafters, under 3m</t>
  </si>
  <si>
    <t>21.7 </t>
  </si>
  <si>
    <t> Roof Carcass, Common Rafters, 3-6mm</t>
  </si>
  <si>
    <t>13.3 </t>
  </si>
  <si>
    <t> Roof Carcass, Common Rafters, over 6m</t>
  </si>
  <si>
    <t>14.1 </t>
  </si>
  <si>
    <t>15.6 </t>
  </si>
  <si>
    <t>16.1 </t>
  </si>
  <si>
    <t> Roof Carcass, Jack Rafters, under 3m</t>
  </si>
  <si>
    <t>18.8 </t>
  </si>
  <si>
    <t> Roof Carcass, Jack Rafters, 3-6mm</t>
  </si>
  <si>
    <t>10.4 </t>
  </si>
  <si>
    <t> Roof Carcass, Purlins, under 3m</t>
  </si>
  <si>
    <t>5.4 </t>
  </si>
  <si>
    <t> Roof Carcass, Purlins, 3-6mm</t>
  </si>
  <si>
    <t>4.3 </t>
  </si>
  <si>
    <t> Roof Carcass, Purlins, over 6m</t>
  </si>
  <si>
    <t> Roof Carcass, Binders, under 3m</t>
  </si>
  <si>
    <t>5.7 </t>
  </si>
  <si>
    <t>6.6 </t>
  </si>
  <si>
    <t> Roof Carcass, Binders, 3-6mm</t>
  </si>
  <si>
    <t> Roof Carcass, Binders, over 6m</t>
  </si>
  <si>
    <t> Roof Carcass, Hangers, under 3m</t>
  </si>
  <si>
    <t> Roof Carcass, Collars under 3m</t>
  </si>
  <si>
    <t> Roof Carcass, Collars 3-m</t>
  </si>
  <si>
    <t>6.5 </t>
  </si>
  <si>
    <t>7.4 </t>
  </si>
  <si>
    <t> Roof Carcass, Ridge Boards under 3m</t>
  </si>
  <si>
    <t>12.0 </t>
  </si>
  <si>
    <t>13.1 </t>
  </si>
  <si>
    <t>15.3 </t>
  </si>
  <si>
    <t> Roof Carcass, Cut Rafter Feet to line</t>
  </si>
  <si>
    <t>142.0 </t>
  </si>
  <si>
    <t>166.0 </t>
  </si>
  <si>
    <t>175.0 </t>
  </si>
  <si>
    <t> Roof Soffits, Softwood, nailed</t>
  </si>
  <si>
    <t>9.2 </t>
  </si>
  <si>
    <t> Roof Soffits, Softwood, screwed</t>
  </si>
  <si>
    <t> Roof Soffits Asbestos, under 300mm nailed</t>
  </si>
  <si>
    <t> Roof Soffits Asbestos, under 300mm screwed</t>
  </si>
  <si>
    <t> Roof Soffits, Asbestos, over 300mm nailed</t>
  </si>
  <si>
    <t> Roof Soffits, Asbestos, over 300mm screwed</t>
  </si>
  <si>
    <t> Roof Facia Panels, Softwood</t>
  </si>
  <si>
    <t> Roof Facia Panels, Asbestos</t>
  </si>
  <si>
    <t> Roof Facia Panel Studding, nailed</t>
  </si>
  <si>
    <t>8.1 </t>
  </si>
  <si>
    <t> Roof Facia Panel Studding, screwed</t>
  </si>
  <si>
    <t>5.2 </t>
  </si>
  <si>
    <t> Roof Facia Panel Studding, bolted to beams</t>
  </si>
  <si>
    <t> Roof Works, Fix Herringbone Strutting</t>
  </si>
  <si>
    <t> Roof Works, Fix Firing Strips</t>
  </si>
  <si>
    <t> Roof Works, Fix Drip/Tilt Filleting</t>
  </si>
  <si>
    <t>20.5 </t>
  </si>
  <si>
    <t>Slate and Tiling</t>
  </si>
  <si>
    <t> Slate Roofs, Welsh Slate 3-5mm</t>
  </si>
  <si>
    <t>18.0 </t>
  </si>
  <si>
    <t> m2/day</t>
  </si>
  <si>
    <t> Slate Roofs, Cumbrian Slate 8-11mm</t>
  </si>
  <si>
    <t> Slate Roofs, Asbestos Slates</t>
  </si>
  <si>
    <t>36.0 </t>
  </si>
  <si>
    <t> Tiled Roofs, Concrete Tiles</t>
  </si>
  <si>
    <t>52.0 </t>
  </si>
  <si>
    <t> Tiled Roofs, Clay Pan Tiles</t>
  </si>
  <si>
    <t>26.0 </t>
  </si>
  <si>
    <t>Sheeted Roofs</t>
  </si>
  <si>
    <t> PVC Sheeted Roofs, large areas</t>
  </si>
  <si>
    <t>50.0 </t>
  </si>
  <si>
    <t> PVC Sheeted Roofs, small areas</t>
  </si>
  <si>
    <t>40.0 </t>
  </si>
  <si>
    <t> Plastic Profiled Sheet Systems</t>
  </si>
  <si>
    <t>54.0 </t>
  </si>
  <si>
    <t>Rainwater Works</t>
  </si>
  <si>
    <t>Metal Decking</t>
  </si>
  <si>
    <t> Metal Decking, large areas</t>
  </si>
  <si>
    <t>70.0 </t>
  </si>
  <si>
    <t> Metal Decking, small or complicated</t>
  </si>
  <si>
    <t>28.0 </t>
  </si>
  <si>
    <t> Titanium Sheeted Roofs</t>
  </si>
  <si>
    <t> Copper Roofs, flat work</t>
  </si>
  <si>
    <t> Copper Roofs, sloping work</t>
  </si>
  <si>
    <t> Zinc Roofs, flat work</t>
  </si>
  <si>
    <t> Zinc Roofs, sloping work</t>
  </si>
  <si>
    <t> Aluminium Roofs, flat work</t>
  </si>
  <si>
    <t> Aluminium Roofs, sloping work</t>
  </si>
  <si>
    <t> Lead Roofs, flat work</t>
  </si>
  <si>
    <t> Lead Roofs, sloping work</t>
  </si>
  <si>
    <t> Lead Roofs, dormer cheeks</t>
  </si>
  <si>
    <t> Lead Roofs, flat gutters</t>
  </si>
  <si>
    <t>88.0 </t>
  </si>
  <si>
    <t> m/day</t>
  </si>
  <si>
    <t> Lead Roofs, flat copings</t>
  </si>
  <si>
    <t>76.0 </t>
  </si>
  <si>
    <t> Lead Roofs, stepped gutters</t>
  </si>
  <si>
    <t> Lead Roofs, shaped copings</t>
  </si>
  <si>
    <t> Lead Roofs, cover step flashings</t>
  </si>
  <si>
    <t> Lead Roofs, rooflight flashings</t>
  </si>
  <si>
    <t> no/day</t>
  </si>
  <si>
    <t> Lead Roofs, domed roof coverings</t>
  </si>
  <si>
    <t>Flat and Layered Roofs</t>
  </si>
  <si>
    <t> Asphalt Roof in layers</t>
  </si>
  <si>
    <t>45.0 </t>
  </si>
  <si>
    <t> Fiber cement roofing sheets</t>
  </si>
  <si>
    <t>39.0 </t>
  </si>
  <si>
    <t> Felt Roofs, large areas</t>
  </si>
  <si>
    <t> Felt Roofs, small or complicated</t>
  </si>
  <si>
    <t>35.0 </t>
  </si>
  <si>
    <t> Felt Roofs, Gravel roof chippings</t>
  </si>
  <si>
    <t> Tons/day</t>
  </si>
  <si>
    <t>Underlay and Netting</t>
  </si>
  <si>
    <t>50mm wire netting fixed to timber purlins</t>
  </si>
  <si>
    <t>Building paper fixed to timber purlins</t>
  </si>
  <si>
    <t>Escalators Installation</t>
  </si>
  <si>
    <t> Truss type, Overall Installation (excl arch finishes)</t>
  </si>
  <si>
    <t>11.0 </t>
  </si>
  <si>
    <t> Truss type, Manufacture, test and deliver</t>
  </si>
  <si>
    <t>60.0 </t>
  </si>
  <si>
    <t>48.0 </t>
  </si>
  <si>
    <t> Truss type, Phase A assemble truss , position/level</t>
  </si>
  <si>
    <t> Truss type, Stop-Work for surrounding finishes</t>
  </si>
  <si>
    <t>6.0 </t>
  </si>
  <si>
    <t> Truss type, Phase B decking and glazing etc</t>
  </si>
  <si>
    <t> Truss type, Phase C performance testing</t>
  </si>
  <si>
    <t> Truss type, Phase D full load testing</t>
  </si>
  <si>
    <t> Truss type, Phase E final test and inspection</t>
  </si>
  <si>
    <t>Lift Installation</t>
  </si>
  <si>
    <t> Hydraulic Lift, Install 2 to 3 storeys</t>
  </si>
  <si>
    <t> wks/floor</t>
  </si>
  <si>
    <t> Hydraulic Lift, Install 4 storeys and above</t>
  </si>
  <si>
    <t> Hydraulic Lift, Testing allow 2 wks plus</t>
  </si>
  <si>
    <t> day/floor</t>
  </si>
  <si>
    <t> Standard Lift, Manufacture, test and deliver</t>
  </si>
  <si>
    <t> Non-Standard Lift, Manufacture, test and deliver</t>
  </si>
  <si>
    <t>65.0 </t>
  </si>
  <si>
    <t>Grid Suspended Ceilings</t>
  </si>
  <si>
    <t>Suspension Systems, suspended 600mm from</t>
  </si>
  <si>
    <t>concrete soffit or steel purlins</t>
  </si>
  <si>
    <t>Fully concealed suspension system</t>
  </si>
  <si>
    <t>Exposed grid system</t>
  </si>
  <si>
    <t>Linings</t>
  </si>
  <si>
    <t>10mm plasterboard fixed to concealed suspension</t>
  </si>
  <si>
    <t>system</t>
  </si>
  <si>
    <t>Plasterboard tiles set into exposed grid system</t>
  </si>
  <si>
    <t> Mosaic Tiling, 0.045x0.045m</t>
  </si>
  <si>
    <t> Clay, quarry Tiles, Window Cills, setout and level</t>
  </si>
  <si>
    <t>55.5 </t>
  </si>
  <si>
    <t> Clay, quarry Tiles, Window Cills, fix, grout and clean</t>
  </si>
  <si>
    <t> Ceramic Tiles 150x150mm, Ledges/Upstands</t>
  </si>
  <si>
    <t>27.1 </t>
  </si>
  <si>
    <t>32.0 </t>
  </si>
  <si>
    <t> Ceramic Tiles 150x150mm, Areas under 1.5m2 per room</t>
  </si>
  <si>
    <t> Ceramic Tiles 150x150mm, Areas of 1.5-2.5m2 per room</t>
  </si>
  <si>
    <t> Ceramic Tiles 150x150mm, Areas over 2.5m2 per room</t>
  </si>
  <si>
    <t> Ceramic Tiles 150x150mm, Extra Over for Cutting</t>
  </si>
  <si>
    <t>41.6 </t>
  </si>
  <si>
    <t> Ceramic Tiles 108x108mm, Ledges/Upstands</t>
  </si>
  <si>
    <t>62.5 </t>
  </si>
  <si>
    <t> Ceramic Tiles 108x108mm, Areas under 1.5m2 per room</t>
  </si>
  <si>
    <t> Ceramic Tiles 108x108mm, Areas of 1.5-2.5m2 per room</t>
  </si>
  <si>
    <t>1.8 </t>
  </si>
  <si>
    <t> Ceramic Tiles 108x108mm, Areas over 2.5m2 per room</t>
  </si>
  <si>
    <t> Ceramic Tiles 108x108mm, Extra Over for Cutting</t>
  </si>
  <si>
    <t>125.0 </t>
  </si>
  <si>
    <t> Ceramic Tiles, Grouting Works</t>
  </si>
  <si>
    <t>Steel Frames</t>
  </si>
  <si>
    <t> Steel Frame and Roof Members</t>
  </si>
  <si>
    <t> Wall Frame, Bow String Truss and Frame</t>
  </si>
  <si>
    <t> Roof Frame, Curved Truss and Frame</t>
  </si>
  <si>
    <t> Wall Frame, Glazed Frame and Atrium</t>
  </si>
  <si>
    <t>Floor Finishes</t>
  </si>
  <si>
    <t> Granolithic Flooring</t>
  </si>
  <si>
    <t> Terrazzo Flooring, in-situ</t>
  </si>
  <si>
    <t> Terrazzo Flooring, pre-cast</t>
  </si>
  <si>
    <t> Clay, quarry Tiles, small areas, much cutting</t>
  </si>
  <si>
    <t> Clay, quarry Tiles, large areas, little cutting</t>
  </si>
  <si>
    <t> Raised Floor System</t>
  </si>
  <si>
    <t> Linolium/Thermo-Plastic Flooring</t>
  </si>
  <si>
    <t> Thermo-Plastic Floor Tiles</t>
  </si>
  <si>
    <t> Wood Block Flooring, lay blocks</t>
  </si>
  <si>
    <t> Wood Block Flooring, sand and polish</t>
  </si>
  <si>
    <t> Carpeting, Underlay &amp; Gripper</t>
  </si>
  <si>
    <t> Carpeting, Adhesive Fixing</t>
  </si>
  <si>
    <t> Carpeting, Fully Fitted</t>
  </si>
  <si>
    <t> Hardboard Sheeting Coverings, small areas</t>
  </si>
  <si>
    <t> Hardboard Sheeting Coverings, large areas</t>
  </si>
  <si>
    <t> Floor Sheeting Coverings, Lay Lino</t>
  </si>
  <si>
    <t>10.5 </t>
  </si>
  <si>
    <t> Vertical Glazed Lights, 6m x 2.5m</t>
  </si>
  <si>
    <t>14.5 </t>
  </si>
  <si>
    <t> Vertical Glazed Walls, large scale</t>
  </si>
  <si>
    <t> Clerestory Frame/Glazing, 3m x 4m</t>
  </si>
  <si>
    <t> Oriel Window Frame/Glazing, 4m x 2m</t>
  </si>
  <si>
    <t> Glazed Curtain Wall, First Fix</t>
  </si>
  <si>
    <t> Glazed Curtain Wall, Second Fix</t>
  </si>
  <si>
    <t> High Quality Glazed Curtain Walling</t>
  </si>
  <si>
    <t>Wall Papering</t>
  </si>
  <si>
    <t> Strip Existing Wallpaper (3 layers) &amp; Prepare Walls</t>
  </si>
  <si>
    <t> Fix Wallpaper and lining paper</t>
  </si>
  <si>
    <t> Fix Vinyl and Washable paper</t>
  </si>
  <si>
    <t> Fix Ceiling Lining Paper</t>
  </si>
  <si>
    <t>Acrylic, prepare and apply two coats</t>
  </si>
  <si>
    <t>Ceilings and soffits</t>
  </si>
  <si>
    <t>General timber/metal surfaces</t>
  </si>
  <si>
    <t>Enamel, prepare and apply two coats</t>
  </si>
  <si>
    <t>Polyurethane, prepare and apply two coats to general</t>
  </si>
  <si>
    <t>timber surfaces</t>
  </si>
  <si>
    <t>Stain, prepare and apply two coats to general timber</t>
  </si>
  <si>
    <t>surfaces</t>
  </si>
  <si>
    <t>Add 50% for painting/staining to joinery and windows</t>
  </si>
  <si>
    <t>Paper hanging, prepare and hang on</t>
  </si>
  <si>
    <t>Ceilings</t>
  </si>
  <si>
    <t> Prepare Walls</t>
  </si>
  <si>
    <t>14.2 </t>
  </si>
  <si>
    <t> Prepare Doors</t>
  </si>
  <si>
    <t>12.5 </t>
  </si>
  <si>
    <t> Prepare Door Frames</t>
  </si>
  <si>
    <t> Burn Off / Heat Strip Paintwork</t>
  </si>
  <si>
    <t> Internal Timber, 1 coat primer before fixing, generally</t>
  </si>
  <si>
    <t> Internal Timber, 1 coat primer before fixing, timber lengths</t>
  </si>
  <si>
    <t> Internal Timber, knot, 1 primer, stop, 1 undercoat, 1 gloss</t>
  </si>
  <si>
    <t> Internal Timber, touchup primer, 1 undercoat, 1 coat gloss</t>
  </si>
  <si>
    <t> Internal Timber, polyurethane varnish, 2 coats</t>
  </si>
  <si>
    <t> Internal Timber, polyurethane varnish, 3 coats</t>
  </si>
  <si>
    <t> Internal Timber, linseed oil to hardwood, 2 coats</t>
  </si>
  <si>
    <t> External Timber, windows and frames</t>
  </si>
  <si>
    <t> External Timber, knot, 1 primer, 2 undercoats, 1 coat gloss,</t>
  </si>
  <si>
    <t> External Timber, touchup primer, 2 undercoats, 1 coat gloss,</t>
  </si>
  <si>
    <t> External Timber, 2 coats wood preservative</t>
  </si>
  <si>
    <t> External Timber, 3 coats polyurethane varnish</t>
  </si>
  <si>
    <t> Internal Walls, 2 coats emulsion to plaster</t>
  </si>
  <si>
    <t> Internal Walls, 2 coats emulsion to brick/blockwork</t>
  </si>
  <si>
    <t> Internal Walls, 1 mist, 2 coats emulsion to plaster</t>
  </si>
  <si>
    <t> Internal Walls, 1 mist, 2 coats emulsion to brick/blockwork</t>
  </si>
  <si>
    <t> Internal Walls, 1 primer, 1 undercoat, 1 gloss to plaster</t>
  </si>
  <si>
    <t> Internal Walls, undercoat to door frame</t>
  </si>
  <si>
    <t> Internal Walls, gloss to door frame</t>
  </si>
  <si>
    <t>16.5 </t>
  </si>
  <si>
    <t> Internal Walls, undercoat to door</t>
  </si>
  <si>
    <t>7.1 </t>
  </si>
  <si>
    <t> Internal Walls, gloss to door</t>
  </si>
  <si>
    <t> External Walls, 2 coats sandtex to render/concrete</t>
  </si>
  <si>
    <t> External Walls, 2 coats sandtex to brick/blockwork</t>
  </si>
  <si>
    <t> External Walls, 1 sealer, 2 emulsion to render/concrete</t>
  </si>
  <si>
    <t> External Walls, 1 sealer, 2 emulsion to brick/blockwork</t>
  </si>
  <si>
    <t> Floors, epoxy paint</t>
  </si>
  <si>
    <t> Ceilings, emulsion paint, 2 coats</t>
  </si>
  <si>
    <t> Ceilings, emulsion paint, 3 coats</t>
  </si>
  <si>
    <t> Ceilings, textured paint</t>
  </si>
  <si>
    <t> Ceilings, artex finish</t>
  </si>
  <si>
    <t> Internal Steelwork, 1 primer, 1 undercoat, 1 gloss</t>
  </si>
  <si>
    <t> External Steelwork, 1 primer, 2 undercoats, 1 gloss</t>
  </si>
  <si>
    <t> Guttering Steelwork, 1 coat primer, 2 undercoats, 1 gloss</t>
  </si>
  <si>
    <t>Painting</t>
  </si>
  <si>
    <t>Sanitary Fixtures</t>
  </si>
  <si>
    <t>Fix only including brackets, fixings, etc</t>
  </si>
  <si>
    <t>Vanity basin</t>
  </si>
  <si>
    <t>Wall basin</t>
  </si>
  <si>
    <t>Bath, pressed steel</t>
  </si>
  <si>
    <t>Bidet—excluding heater</t>
  </si>
  <si>
    <t>W.C. suite</t>
  </si>
  <si>
    <t>W.C. pan floor mounted</t>
  </si>
  <si>
    <t>floor mounted</t>
  </si>
  <si>
    <t>wall mounted</t>
  </si>
  <si>
    <t>Cistern, wall type</t>
  </si>
  <si>
    <t>Cleaner's sink</t>
  </si>
  <si>
    <t>Kitchen sink</t>
  </si>
  <si>
    <t>Laundry trough</t>
  </si>
  <si>
    <t>Slop hopper</t>
  </si>
  <si>
    <t>Urinal single stall</t>
  </si>
  <si>
    <t>1800mm long</t>
  </si>
  <si>
    <t>3000mm long</t>
  </si>
  <si>
    <t xml:space="preserve">Sanitary Fixtures </t>
  </si>
  <si>
    <t>Hot Water Units</t>
  </si>
  <si>
    <t>Fix only, including connections to piping</t>
  </si>
  <si>
    <t>Instantaneous multi-point</t>
  </si>
  <si>
    <t>180 litre mains pressure, glass lined</t>
  </si>
  <si>
    <t>Add for low pressure unit</t>
  </si>
  <si>
    <t>Cocks, Taps &amp; Traps</t>
  </si>
  <si>
    <t>Fix only including connections, diameter</t>
  </si>
  <si>
    <t>Stop cock</t>
  </si>
  <si>
    <t>15mm to 25mm</t>
  </si>
  <si>
    <t>50mm</t>
  </si>
  <si>
    <t>Tap or faucet</t>
  </si>
  <si>
    <t>Basin combination set</t>
  </si>
  <si>
    <t>Laundry combination set</t>
  </si>
  <si>
    <t>Pillar tap</t>
  </si>
  <si>
    <t>Shower combination set</t>
  </si>
  <si>
    <t>Sink combination set</t>
  </si>
  <si>
    <t>‘S’ or ‘P’ trap, copper or brass</t>
  </si>
  <si>
    <t>40mm diameter</t>
  </si>
  <si>
    <t>50mm diameter</t>
  </si>
  <si>
    <t>‘S’ or ‘P’ trap, PVC</t>
  </si>
  <si>
    <t>32mm diameter</t>
  </si>
  <si>
    <t>Soil, Waste and Vent Pipes</t>
  </si>
  <si>
    <t>Constants include fixing to walls and testing.</t>
  </si>
  <si>
    <t>Pipe constants exclude bends, junctions, etc. To include these in ‘per metre’ constant, allow one fitting for every 2 to 3 metres of pipe</t>
  </si>
  <si>
    <t>Copper pipe, diameter</t>
  </si>
  <si>
    <t>65mm</t>
  </si>
  <si>
    <t>80mm</t>
  </si>
  <si>
    <t>100mm</t>
  </si>
  <si>
    <t>150mm</t>
  </si>
  <si>
    <t>Bend, diameter</t>
  </si>
  <si>
    <t>Junction, diameter</t>
  </si>
  <si>
    <t>PVC pipe, diameter</t>
  </si>
  <si>
    <t>Water Pipes</t>
  </si>
  <si>
    <t>Pipe constants exclude bends, tees, etc. To include these in ‘per metre’ constant, allow one fitting for every 2 to 3 metres of pipe</t>
  </si>
  <si>
    <t>15mm</t>
  </si>
  <si>
    <t>Tee, diameter</t>
  </si>
  <si>
    <t>Brickwork</t>
  </si>
  <si>
    <t>Unit   </t>
  </si>
  <si>
    <t>Brickwork, stretcher bond</t>
  </si>
  <si>
    <t>Veneer walls, standard</t>
  </si>
  <si>
    <t>1000 bks</t>
  </si>
  <si>
    <t>Facing, pointing and cleaning down</t>
  </si>
  <si>
    <t>Blockwork</t>
  </si>
  <si>
    <t>Blockwork in walls, of hollow blocks</t>
  </si>
  <si>
    <t>400mm x 200mm x 100mm</t>
  </si>
  <si>
    <t>400mm x 200mm x 150mm</t>
  </si>
  <si>
    <t>400mm x 200mm x 200mm</t>
  </si>
  <si>
    <t>400mm x 200mm x 200mm hollow block threaded over bar reinforcement</t>
  </si>
  <si>
    <t>Pointing and cleaning down</t>
  </si>
  <si>
    <t>Labours and Filling</t>
  </si>
  <si>
    <t>Fair raking cutting</t>
  </si>
  <si>
    <t>100mm hollow block</t>
  </si>
  <si>
    <t>200mm hollow block</t>
  </si>
  <si>
    <t>Concrete filling to cores of hollow blocks</t>
  </si>
  <si>
    <t>150mm hollow block</t>
  </si>
  <si>
    <t>Lintel block, including filling</t>
  </si>
  <si>
    <t>200mm wide x 200mm high x 200mm long</t>
  </si>
  <si>
    <t>200mm wide x 400mm high x 200mm long</t>
  </si>
  <si>
    <t> Thermalite Blockwork, under 100mm thick</t>
  </si>
  <si>
    <t> Thermalite Blockwork, under 100-150mm thick</t>
  </si>
  <si>
    <t> Thermalite Blockwork, over 150mm thick</t>
  </si>
  <si>
    <t> Lightweight Concrete Blockwork, under 100mm thick</t>
  </si>
  <si>
    <t> Lightweight Concrete Blockwork, under 100-150mm thick</t>
  </si>
  <si>
    <t> Lightweight Concrete Blockwork, over 150mm thick</t>
  </si>
  <si>
    <t> Heavyweight Concrete Blockwork, under 100mm thick</t>
  </si>
  <si>
    <t> Heavyweight Concrete Blockwork, under 100-150mm thick</t>
  </si>
  <si>
    <t> Heavyweight Concrete Blockwork, over 150mm thick</t>
  </si>
  <si>
    <t> Face Finish, Raked Out</t>
  </si>
  <si>
    <t>71.4 </t>
  </si>
  <si>
    <t> Face Finish, Bag Rubbed</t>
  </si>
  <si>
    <t>29.4 </t>
  </si>
  <si>
    <t> Face Finish, Flush Pointing</t>
  </si>
  <si>
    <t>17.6 </t>
  </si>
  <si>
    <t>Plasterboard</t>
  </si>
  <si>
    <t> Boarding to Plaster dabs</t>
  </si>
  <si>
    <t> Boarding to Stud-work/Metal Lathes</t>
  </si>
  <si>
    <t> Boarding 12mm nailed to studding</t>
  </si>
  <si>
    <t> Boarding 19mm nailed to studding</t>
  </si>
  <si>
    <t> Tape, Jointing and Sanding</t>
  </si>
  <si>
    <t>Plastering Production Rates</t>
  </si>
  <si>
    <t>Solid Plaster</t>
  </si>
  <si>
    <t>Render for wall tiling, cement and sand in one coat 13mm thick</t>
  </si>
  <si>
    <t>Cement render, one coat 13mm thick on</t>
  </si>
  <si>
    <t>Hardwall plaster, two coats 16mm thick on</t>
  </si>
  <si>
    <t>Skim coat hardwall plaster on soffits</t>
  </si>
  <si>
    <t>Plaster cove</t>
  </si>
  <si>
    <t>Plaster nosing</t>
  </si>
  <si>
    <t> Browning (undercoat), Internal Walls under 2.5m high</t>
  </si>
  <si>
    <t> Browning (undercoat), Internal Walls over 2.5m high</t>
  </si>
  <si>
    <t> Browning (undercoat), Reveals and Columns less than 100mm wide</t>
  </si>
  <si>
    <t>9.9 </t>
  </si>
  <si>
    <t> Browning (undercoat), Reveals and Columns 100-200mm wide</t>
  </si>
  <si>
    <t>6.4 </t>
  </si>
  <si>
    <t> Browning (undercoat), Reveals and Columns 200-300mm wide</t>
  </si>
  <si>
    <t> Covings</t>
  </si>
  <si>
    <t> Skimming (topcoat), Internal Walls under 2.5m high</t>
  </si>
  <si>
    <t> Skimming (topcoat), Internal Walls over 2.5m high</t>
  </si>
  <si>
    <t> Skimming (topcoat), Reveals and Columns less than 100mm wide</t>
  </si>
  <si>
    <t>13.8 </t>
  </si>
  <si>
    <t>15.4 </t>
  </si>
  <si>
    <t> Skimming (topcoat), Reveals and Columns 100-200mm wide</t>
  </si>
  <si>
    <t>7.7 </t>
  </si>
  <si>
    <t>9.8 </t>
  </si>
  <si>
    <t> Skimming (topcoat), Reveals and Columns 200-300mm wide</t>
  </si>
  <si>
    <t> Plaster Board to Ceilings</t>
  </si>
  <si>
    <t> Plastering Ceilings, 1 Bonding, 1 Skimming</t>
  </si>
  <si>
    <t> Plastering Ceilings, Topcoat Skimming</t>
  </si>
  <si>
    <t>Stonework</t>
  </si>
  <si>
    <t> Fix 0.5m2 Stones to Metal Support Frame</t>
  </si>
  <si>
    <t>7.0 </t>
  </si>
  <si>
    <t>7.8 </t>
  </si>
  <si>
    <t> Fix 0.5-0.75m2 Stones to Metal Support Frame</t>
  </si>
  <si>
    <t> Fix 0.75-1.0m2 Stones to Metal Support Frame</t>
  </si>
  <si>
    <t>6.9 </t>
  </si>
  <si>
    <t>8.7 </t>
  </si>
  <si>
    <t> Fix Complex Stonework to Metal Support Frame</t>
  </si>
  <si>
    <t> Fix Curved Stone Cladding</t>
  </si>
  <si>
    <t> Fix Stone Edge Beams/Window Reveals</t>
  </si>
  <si>
    <t> Fix Stone Soffits</t>
  </si>
  <si>
    <t> Stone Floors</t>
  </si>
  <si>
    <t> Granite Wall Panels, First Fix</t>
  </si>
  <si>
    <t> Granite Wall Panels, Second Fix</t>
  </si>
  <si>
    <t> Erect and Setup 50m gib</t>
  </si>
  <si>
    <t>7.5 </t>
  </si>
  <si>
    <t> days</t>
  </si>
  <si>
    <t> Dismantle 50m gib</t>
  </si>
  <si>
    <t> Lifting, Reinforcement Bins and Cages, 1st 15m lift</t>
  </si>
  <si>
    <t> mins/lift</t>
  </si>
  <si>
    <t> Lifting, Reinforcement Bins and Cages, above 1st 15m lift</t>
  </si>
  <si>
    <t> mins/15m</t>
  </si>
  <si>
    <t> Lifting, Crane Tracking Time</t>
  </si>
  <si>
    <t> seconds/m</t>
  </si>
  <si>
    <t>Cost is important to all industry. Costs can be divided into two general classes; absolute costs and relative costs. Absolute cost measures the loss in value of assets. Relative cost involves a comparison between the chosen course of action and the course of action that was rejected. This cost of the alternative action - the action not taken - is often called the "opportunity cost".</t>
  </si>
  <si>
    <t>The accountant is primarily concerned with the absolute cost. However, the forest engineer, the planner, the manager needs to be concerned with the alternative cost - the cost of the lost opportunity. Management has to be able to make comparisons between the policy that should be chosen and the policy that should be rejected. Such comparisons require the ability to predict costs, rather than merely record costs.</t>
  </si>
  <si>
    <t>Cost data are, of course, essential to the technique of cost prediction. However, the form in which much cost data are recorded limits accurate cost prediction to the field of comparable situations only. This limitation of accurate cost prediction may not be serious in industries where the production environment changes little from month to month or year to year. In harvesting, however, identical production situations are the exception rather than the rule. Unless the cost data are broken down and recorded as unit costs, and correlated with the factors that control their values, they are of little use in deciding between alternative procedures. Here, the approach to the problem of useful cost data is that of identification, isolation, and control of the factors affecting cost.</t>
  </si>
  <si>
    <t>1.2 Basic Classification of Costs</t>
  </si>
  <si>
    <t>Costs are divided into two types: variable costs, and fixed costs. Variable costs vary per unit of production. For example, they may be the cost per cubic meter of wood yarded, per cubic meter of dirt excavated, etc. Fixed costs, on the other hand, are incurred only once and as additional units of production are produced, the unit costs fall. Examples of fixed costs would be equipment move-in costs and road access costs.</t>
  </si>
  <si>
    <t>1.3 Total Cost and Unit-Cost Formulas</t>
  </si>
  <si>
    <t>As harvesting operations become more complicated and involve both fixed and variable costs, there usually is more than one way to accomplish a given task. It may be possible to change the quantity of one or both types of cost, and thus to arrive at a minimum total cost. Mathematically, the relationship existing between volume of production and costs can be expressed by the following equations:</t>
  </si>
  <si>
    <t>Total cost = fixed cost + variable cost × output</t>
  </si>
  <si>
    <t>In symbols using the first letters of the cost elements and N for the output or number of units of production, these simple formulas are</t>
  </si>
  <si>
    <t>C = F + NV</t>
  </si>
  <si>
    <t>UC = F/N + V</t>
  </si>
  <si>
    <t>1.4 Breakeven Analysis</t>
  </si>
  <si>
    <t>A breakeven analysis determines the point at which one method becomes superior to another method of accomplishing some task or objective. Breakeven analysis is a common and important part of cost control.</t>
  </si>
  <si>
    <t>One illustration of a breakeven analysis would be to compare two methods of road construction for a road that involves a limited amount of cut-and-fill earthwork. It would be possible to do the earthwork by hand or by bulldozer. If the manual method were adopted, the fixed costs would be low or non-existent. Payment would be done on a daily basis and would call for direct supervision by a foreman. The cost would be calculated by estimating the time required and multiplying this time by the average wages of the men employed. The men could also be paid on a piece-work basis. Alternatively, this work could be done by a bulldozer which would have to be moved in from another site. Let us assume that the cost of the hand labor would be $0.60 per cubic meter and the bulldozer would cost $0.40 per cubic meter and would require $100 to move in from another site. The move-in cost for the bulldozer is a fixed cost, and is independent of the quantity of the earthwork handled. If the bulldozer is used, no economy will result unless the amount of earthwork is sufficient to carry the fixed cost plus the direct cost of the bulldozer operation.</t>
  </si>
  <si>
    <t>Figure 1.1 Breakeven Example for Excavation.</t>
  </si>
  <si>
    <t>If, on a set of coordinates, cost in dollars is plotted on the vertical axis and units of production on the horizontal axis, we can indicate fixed cost for any process by a horizontal line parallel to the x-axis. If variable cost per unit output is constant, then the total cost for any number of units of production will be the sum of the fixed cost and the variable cost multiplied by the number of units of production, or F + NV. If the cost data for two processes or methods, one of which has a higher variable cost, but lower fixed cost than the other are plotted on the same graph, the total cost lines will intersect at some point. At this point the levels of production and total cost are the same. This point is known as the "breakeven" point, since at this level one method is as economical as the other. Referring to Figure 1.1 the breakeven point at which quantity the bulldozer alternative and the manual labor alternative become equal is at 500 cubic meters. We could have found this same result algebraically by writing F + NV = F' + NV' where F and V are the fixed and variable costs for the manual method, and F' and V' are the corresponding values for the bulldozer method. Since all values are known except N, we can solve for N using the formula N = (F' - F) / (V - V')</t>
  </si>
  <si>
    <t>A similar, but different problem is the determination of the point of minimum total cost. Instead of balancing two methods with different fixed and variable costs, the aim is to bring the sum of two costs to a minimum. We will assume a clearing crew of 20 men is clearing road right-of-way and the following facts are available:</t>
  </si>
  <si>
    <t>1. Men are paid at the rate of $0.40 per hour.</t>
  </si>
  <si>
    <t>2. Time is measured from the time of leaving camp to the time of return.</t>
  </si>
  <si>
    <t>3. Total walking time per man is increasing at the rate of 15 minutes per day.</t>
  </si>
  <si>
    <t>4. The cost to move the camp is $50.</t>
  </si>
  <si>
    <t>If the camp is moved each day, no time is lost walking, but the camp cost is $50 per day. If the camp is not moved, on the second day 15 crew-minutes are lost or $2.00. On the third day, the total walking time has increased 30 minutes, the fourth day, 45 minutes, and so on. How often should the camp be moved assuming all other things are equal? We could derive an algebraic expression using the sum of an arithmetic series if we wanted to solve this problem a number of times, but for demonstration purposes we can simply calculate the average total camp cost. The average total camp cost is the sum of the average daily cost of walking time plus the average daily cost of moving camp. If we moved camp each day, then average daily cost of walking time would be zero and the cost of moving camp would be $50.00. If we moved the camp every other day, the cost of walking time is $2.00 lost the second day, or an average of $1.00 per day. The average daily cost of moving camp is $50 divided by 2 or $25.00. The average total camp cost is then $26.00. If we continued this process for various numbers of days the camp remains in location, we would obtain the results in Table 1.1.</t>
  </si>
  <si>
    <t>TABLE 1.1 Average daily total camp cost as the sum of the cost of walking time plus the cost of moving camp.</t>
  </si>
  <si>
    <t>Days camp remained in location</t>
  </si>
  <si>
    <t>Average daily cost of walking time</t>
  </si>
  <si>
    <t>Average daily cost of moving camp</t>
  </si>
  <si>
    <t>Average total camp cost</t>
  </si>
  <si>
    <t>We see the average daily cost of walking time increasing linearly and the average cost of moving camp decreasing as the number of days the camp remains in one location increases. The minimum cost is obtained for leaving the camp in location 7 days (Figure 1.2). This minimum cost point should only be used as a guideline as all other things are rarely equal. An important output of the analysis is the sensitivity of the total cost to deviations from the minimum cost point. In this example, the total cost changes slowly between 5 and 10 days. Often, other considerations which may be difficult to quantify will affect the decision. In Section 2, we discuss balancing road costs against skidding costs. Sometimes roads are spaced more closely together than that indicated by the point of minimum total cost if excess road construction capacity is available. In this case the goal may be to reduce the risk of disrupting skidding production because of poor weather or equipment availability. Alternatively, we may choose to space roads farther apart to reduce environmental impacts. Due to the usually flat nature of the total cost curve, the increase in total cost is often small over a wide range of road spacings.</t>
  </si>
  <si>
    <t>Figure 1.2 Costs for Camp Location Example.</t>
  </si>
  <si>
    <t xml:space="preserve">1.1 Introduction </t>
  </si>
  <si>
    <t xml:space="preserve">The art of construction estimating </t>
  </si>
  <si>
    <t xml:space="preserve">1.5 Minimum Cost Analyses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</si>
</sst>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
    <numFmt numFmtId="166" formatCode="_-* #,##0_-;\-* #,##0_-;_-* &quot;-&quot;??_-;_-@_-"/>
    <numFmt numFmtId="167" formatCode="0.00;[Red]0.00"/>
    <numFmt numFmtId="168" formatCode="0.0%"/>
    <numFmt numFmtId="169" formatCode="#,##0.00;[Red]#,##0.00"/>
  </numFmts>
  <fonts count="62" x14ac:knownFonts="1">
    <font>
      <sz val="10"/>
      <name val="Arial"/>
    </font>
    <font>
      <sz val="10"/>
      <name val="Arial"/>
      <family val="2"/>
    </font>
    <font>
      <sz val="8"/>
      <name val="Arial"/>
      <family val="2"/>
    </font>
    <font>
      <b/>
      <sz val="10"/>
      <name val="Arial"/>
      <family val="2"/>
    </font>
    <font>
      <sz val="10"/>
      <name val="Arial"/>
      <family val="2"/>
    </font>
    <font>
      <b/>
      <u/>
      <sz val="10"/>
      <name val="Century Gothic"/>
      <family val="2"/>
    </font>
    <font>
      <sz val="10"/>
      <name val="Century Gothic"/>
      <family val="2"/>
    </font>
    <font>
      <b/>
      <sz val="10"/>
      <name val="Century Gothic"/>
      <family val="2"/>
    </font>
    <font>
      <b/>
      <u/>
      <sz val="10"/>
      <name val="Arial"/>
      <family val="2"/>
    </font>
    <font>
      <sz val="10"/>
      <name val="Arial"/>
      <family val="2"/>
    </font>
    <font>
      <b/>
      <u/>
      <sz val="10"/>
      <name val="Arial"/>
      <family val="2"/>
    </font>
    <font>
      <b/>
      <i/>
      <sz val="10"/>
      <name val="Arial"/>
      <family val="2"/>
    </font>
    <font>
      <b/>
      <vertAlign val="superscript"/>
      <sz val="10"/>
      <name val="Arial"/>
      <family val="2"/>
    </font>
    <font>
      <u/>
      <sz val="10"/>
      <name val="Arial"/>
      <family val="2"/>
    </font>
    <font>
      <b/>
      <sz val="8"/>
      <color indexed="81"/>
      <name val="Tahoma"/>
      <family val="2"/>
    </font>
    <font>
      <sz val="8"/>
      <color indexed="81"/>
      <name val="Tahoma"/>
      <family val="2"/>
    </font>
    <font>
      <sz val="10"/>
      <name val="Trebuchet MS"/>
      <family val="2"/>
    </font>
    <font>
      <b/>
      <u/>
      <sz val="10"/>
      <name val="Trebuchet MS"/>
      <family val="2"/>
    </font>
    <font>
      <u/>
      <sz val="10"/>
      <name val="Trebuchet MS"/>
      <family val="2"/>
    </font>
    <font>
      <b/>
      <sz val="10"/>
      <name val="Trebuchet MS"/>
      <family val="2"/>
    </font>
    <font>
      <sz val="10"/>
      <color indexed="10"/>
      <name val="Trebuchet MS"/>
      <family val="2"/>
    </font>
    <font>
      <sz val="10"/>
      <name val="Times New Roman"/>
      <family val="1"/>
    </font>
    <font>
      <sz val="12"/>
      <name val="Times New Roman"/>
      <family val="1"/>
    </font>
    <font>
      <b/>
      <i/>
      <sz val="26"/>
      <name val="Times New Roman"/>
      <family val="1"/>
    </font>
    <font>
      <b/>
      <sz val="12"/>
      <name val="Times New Roman"/>
      <family val="1"/>
    </font>
    <font>
      <b/>
      <sz val="10"/>
      <name val="Times New Roman"/>
      <family val="1"/>
    </font>
    <font>
      <sz val="12"/>
      <color indexed="8"/>
      <name val="Times New Roman"/>
      <family val="1"/>
    </font>
    <font>
      <b/>
      <u val="singleAccounting"/>
      <sz val="12"/>
      <name val="Times New Roman"/>
      <family val="1"/>
    </font>
    <font>
      <b/>
      <u val="doubleAccounting"/>
      <sz val="10"/>
      <name val="Times New Roman"/>
      <family val="1"/>
    </font>
    <font>
      <b/>
      <u/>
      <sz val="12"/>
      <name val="Century Gothic"/>
      <family val="2"/>
    </font>
    <font>
      <sz val="12"/>
      <name val="Century Gothic"/>
      <family val="2"/>
    </font>
    <font>
      <b/>
      <sz val="12"/>
      <name val="Century Gothic"/>
      <family val="2"/>
    </font>
    <font>
      <sz val="12"/>
      <color indexed="10"/>
      <name val="Century Gothic"/>
      <family val="2"/>
    </font>
    <font>
      <u/>
      <sz val="12"/>
      <name val="Century Gothic"/>
      <family val="2"/>
    </font>
    <font>
      <sz val="14"/>
      <name val="Century Gothic"/>
      <family val="2"/>
    </font>
    <font>
      <i/>
      <sz val="12"/>
      <name val="Century Gothic"/>
      <family val="2"/>
    </font>
    <font>
      <b/>
      <sz val="10"/>
      <color indexed="10"/>
      <name val="Arial"/>
      <family val="2"/>
    </font>
    <font>
      <b/>
      <sz val="9"/>
      <name val="Arial"/>
      <family val="2"/>
    </font>
    <font>
      <b/>
      <u val="double"/>
      <sz val="10"/>
      <color rgb="FFFF0000"/>
      <name val="Arial"/>
      <family val="2"/>
    </font>
    <font>
      <b/>
      <u/>
      <sz val="10"/>
      <color rgb="FFFF0000"/>
      <name val="Arial"/>
      <family val="2"/>
    </font>
    <font>
      <b/>
      <sz val="12"/>
      <color rgb="FF002060"/>
      <name val="Century Gothic"/>
      <family val="2"/>
    </font>
    <font>
      <b/>
      <sz val="14"/>
      <color rgb="FF002060"/>
      <name val="Century Gothic"/>
      <family val="2"/>
    </font>
    <font>
      <b/>
      <sz val="12"/>
      <color rgb="FFFF0000"/>
      <name val="Century Gothic"/>
      <family val="2"/>
    </font>
    <font>
      <b/>
      <sz val="14"/>
      <color rgb="FFFF0000"/>
      <name val="Century Gothic"/>
      <family val="2"/>
    </font>
    <font>
      <b/>
      <sz val="14"/>
      <color rgb="FF7030A0"/>
      <name val="Century Gothic"/>
      <family val="2"/>
    </font>
    <font>
      <sz val="11"/>
      <color rgb="FFFFFFFF"/>
      <name val="Calibri"/>
      <family val="2"/>
    </font>
    <font>
      <sz val="10"/>
      <color rgb="FF666666"/>
      <name val="Tahoma"/>
      <family val="2"/>
    </font>
    <font>
      <sz val="12"/>
      <color rgb="FF4E4E4E"/>
      <name val="Arial"/>
      <family val="2"/>
    </font>
    <font>
      <sz val="14"/>
      <name val="Arial"/>
      <family val="2"/>
    </font>
    <font>
      <sz val="20"/>
      <color rgb="FF1F1F1F"/>
      <name val="Lora"/>
    </font>
    <font>
      <sz val="8"/>
      <color rgb="FF999999"/>
      <name val="Arial"/>
      <family val="2"/>
    </font>
    <font>
      <u/>
      <sz val="10"/>
      <color theme="10"/>
      <name val="Arial"/>
      <family val="2"/>
    </font>
    <font>
      <sz val="11"/>
      <color rgb="FF1F1F1F"/>
      <name val="Lora"/>
    </font>
    <font>
      <sz val="16"/>
      <name val="Arial"/>
      <family val="2"/>
    </font>
    <font>
      <sz val="20"/>
      <name val="Arial"/>
      <family val="2"/>
    </font>
    <font>
      <b/>
      <sz val="12"/>
      <name val="Arial"/>
      <family val="2"/>
    </font>
    <font>
      <b/>
      <sz val="12"/>
      <color rgb="FF4E4E4E"/>
      <name val="Arial"/>
      <family val="2"/>
    </font>
    <font>
      <sz val="14"/>
      <color rgb="FF000000"/>
      <name val="Times"/>
    </font>
    <font>
      <sz val="14"/>
      <name val="Tahoma"/>
      <family val="2"/>
    </font>
    <font>
      <sz val="18"/>
      <color rgb="FF4E4E4E"/>
      <name val="Lora"/>
    </font>
    <font>
      <sz val="9"/>
      <color rgb="FF4E4E4E"/>
      <name val="Arial"/>
      <family val="2"/>
    </font>
    <font>
      <b/>
      <i/>
      <sz val="12"/>
      <color rgb="FF4E4E4E"/>
      <name val="Arial"/>
      <family val="2"/>
    </font>
  </fonts>
  <fills count="1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5"/>
        <bgColor indexed="64"/>
      </patternFill>
    </fill>
    <fill>
      <patternFill patternType="solid">
        <fgColor indexed="11"/>
        <bgColor indexed="64"/>
      </patternFill>
    </fill>
    <fill>
      <patternFill patternType="solid">
        <fgColor rgb="FFFFFF00"/>
        <bgColor indexed="64"/>
      </patternFill>
    </fill>
    <fill>
      <patternFill patternType="solid">
        <fgColor rgb="FF00B050"/>
        <bgColor indexed="64"/>
      </patternFill>
    </fill>
    <fill>
      <patternFill patternType="solid">
        <fgColor theme="3" tint="0.39997558519241921"/>
        <bgColor indexed="64"/>
      </patternFill>
    </fill>
    <fill>
      <patternFill patternType="solid">
        <fgColor rgb="FF92D050"/>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rgb="FFFAFAFA"/>
        <bgColor indexed="64"/>
      </patternFill>
    </fill>
    <fill>
      <patternFill patternType="solid">
        <fgColor rgb="FF4F81BD"/>
        <bgColor indexed="64"/>
      </patternFill>
    </fill>
    <fill>
      <patternFill patternType="solid">
        <fgColor rgb="FFFFFFFF"/>
        <bgColor indexed="64"/>
      </patternFill>
    </fill>
  </fills>
  <borders count="12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bottom style="double">
        <color indexed="64"/>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top/>
      <bottom/>
      <diagonal/>
    </border>
    <border>
      <left/>
      <right style="double">
        <color indexed="64"/>
      </right>
      <top/>
      <bottom/>
      <diagonal/>
    </border>
    <border>
      <left style="double">
        <color indexed="64"/>
      </left>
      <right style="double">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diagonal/>
    </border>
    <border>
      <left style="thin">
        <color indexed="64"/>
      </left>
      <right style="double">
        <color indexed="64"/>
      </right>
      <top style="thin">
        <color indexed="64"/>
      </top>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right style="double">
        <color indexed="64"/>
      </right>
      <top style="double">
        <color indexed="64"/>
      </top>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double">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double">
        <color indexed="64"/>
      </left>
      <right style="medium">
        <color indexed="64"/>
      </right>
      <top style="thin">
        <color indexed="64"/>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bottom/>
      <diagonal/>
    </border>
    <border>
      <left style="double">
        <color indexed="64"/>
      </left>
      <right style="medium">
        <color indexed="64"/>
      </right>
      <top style="thin">
        <color indexed="64"/>
      </top>
      <bottom style="double">
        <color indexed="64"/>
      </bottom>
      <diagonal/>
    </border>
    <border>
      <left style="medium">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double">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double">
        <color indexed="64"/>
      </bottom>
      <diagonal/>
    </border>
    <border>
      <left style="medium">
        <color rgb="FF4F81BD"/>
      </left>
      <right/>
      <top/>
      <bottom style="medium">
        <color rgb="FF4F81BD"/>
      </bottom>
      <diagonal/>
    </border>
    <border>
      <left/>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style="medium">
        <color rgb="FF4F81BD"/>
      </top>
      <bottom style="medium">
        <color rgb="FF4F81BD"/>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4F81BD"/>
      </right>
      <top style="medium">
        <color rgb="FF4F81BD"/>
      </top>
      <bottom style="medium">
        <color rgb="FF4F81BD"/>
      </bottom>
      <diagonal/>
    </border>
    <border>
      <left style="medium">
        <color rgb="FF4F81BD"/>
      </left>
      <right style="medium">
        <color rgb="FF000000"/>
      </right>
      <top style="medium">
        <color rgb="FF4F81BD"/>
      </top>
      <bottom style="medium">
        <color rgb="FF4F81BD"/>
      </bottom>
      <diagonal/>
    </border>
    <border>
      <left style="medium">
        <color rgb="FF000000"/>
      </left>
      <right style="medium">
        <color rgb="FF4F81BD"/>
      </right>
      <top style="medium">
        <color rgb="FF4F81BD"/>
      </top>
      <bottom style="medium">
        <color rgb="FF000000"/>
      </bottom>
      <diagonal/>
    </border>
    <border>
      <left style="medium">
        <color rgb="FF4F81BD"/>
      </left>
      <right style="medium">
        <color rgb="FF4F81BD"/>
      </right>
      <top style="medium">
        <color rgb="FF4F81BD"/>
      </top>
      <bottom style="medium">
        <color rgb="FF000000"/>
      </bottom>
      <diagonal/>
    </border>
    <border>
      <left style="medium">
        <color rgb="FF4F81BD"/>
      </left>
      <right style="medium">
        <color rgb="FF000000"/>
      </right>
      <top style="medium">
        <color rgb="FF4F81BD"/>
      </top>
      <bottom style="medium">
        <color rgb="FF000000"/>
      </bottom>
      <diagonal/>
    </border>
    <border>
      <left style="mediumDashed">
        <color rgb="FF999999"/>
      </left>
      <right/>
      <top style="mediumDashed">
        <color rgb="FF999999"/>
      </top>
      <bottom/>
      <diagonal/>
    </border>
    <border>
      <left style="medium">
        <color rgb="FF4F81BD"/>
      </left>
      <right/>
      <top style="mediumDashed">
        <color rgb="FF4F81BD"/>
      </top>
      <bottom style="medium">
        <color rgb="FF4F81BD"/>
      </bottom>
      <diagonal/>
    </border>
    <border>
      <left style="mediumDashed">
        <color rgb="FF4F81BD"/>
      </left>
      <right/>
      <top style="mediumDashed">
        <color rgb="FF4F81BD"/>
      </top>
      <bottom style="medium">
        <color rgb="FF4F81BD"/>
      </bottom>
      <diagonal/>
    </border>
    <border>
      <left style="mediumDashed">
        <color rgb="FF4F81BD"/>
      </left>
      <right style="medium">
        <color rgb="FF4F81BD"/>
      </right>
      <top style="mediumDashed">
        <color rgb="FF4F81BD"/>
      </top>
      <bottom style="medium">
        <color rgb="FF4F81BD"/>
      </bottom>
      <diagonal/>
    </border>
    <border>
      <left style="mediumDashed">
        <color rgb="FF999999"/>
      </left>
      <right style="thin">
        <color rgb="FF000000"/>
      </right>
      <top style="mediumDashed">
        <color rgb="FF999999"/>
      </top>
      <bottom style="thin">
        <color rgb="FF000000"/>
      </bottom>
      <diagonal/>
    </border>
    <border>
      <left style="medium">
        <color rgb="FF4F81BD"/>
      </left>
      <right style="medium">
        <color rgb="FF4F81BD"/>
      </right>
      <top style="mediumDashed">
        <color rgb="FF4F81BD"/>
      </top>
      <bottom style="medium">
        <color rgb="FF4F81BD"/>
      </bottom>
      <diagonal/>
    </border>
    <border>
      <left style="mediumDashed">
        <color rgb="FF999999"/>
      </left>
      <right style="thin">
        <color rgb="FF000000"/>
      </right>
      <top style="medium">
        <color rgb="FF000000"/>
      </top>
      <bottom style="thin">
        <color rgb="FF000000"/>
      </bottom>
      <diagonal/>
    </border>
    <border>
      <left style="mediumDashed">
        <color rgb="FF999999"/>
      </left>
      <right style="medium">
        <color rgb="FF000000"/>
      </right>
      <top style="medium">
        <color rgb="FF000000"/>
      </top>
      <bottom style="thin">
        <color rgb="FF000000"/>
      </bottom>
      <diagonal/>
    </border>
    <border>
      <left style="medium">
        <color rgb="FF000000"/>
      </left>
      <right style="medium">
        <color rgb="FF4F81BD"/>
      </right>
      <top style="mediumDashed">
        <color rgb="FF4F81BD"/>
      </top>
      <bottom style="medium">
        <color rgb="FF4F81BD"/>
      </bottom>
      <diagonal/>
    </border>
    <border>
      <left style="mediumDashed">
        <color rgb="FF4F81BD"/>
      </left>
      <right style="medium">
        <color rgb="FF000000"/>
      </right>
      <top style="mediumDashed">
        <color rgb="FF4F81BD"/>
      </top>
      <bottom style="medium">
        <color rgb="FF4F81BD"/>
      </bottom>
      <diagonal/>
    </border>
    <border>
      <left style="medium">
        <color rgb="FF000000"/>
      </left>
      <right style="medium">
        <color rgb="FF4F81BD"/>
      </right>
      <top style="mediumDashed">
        <color rgb="FF4F81BD"/>
      </top>
      <bottom style="medium">
        <color rgb="FF000000"/>
      </bottom>
      <diagonal/>
    </border>
    <border>
      <left style="mediumDashed">
        <color rgb="FF4F81BD"/>
      </left>
      <right style="medium">
        <color rgb="FF4F81BD"/>
      </right>
      <top style="mediumDashed">
        <color rgb="FF4F81BD"/>
      </top>
      <bottom style="medium">
        <color rgb="FF000000"/>
      </bottom>
      <diagonal/>
    </border>
    <border>
      <left/>
      <right style="medium">
        <color rgb="FF000000"/>
      </right>
      <top/>
      <bottom style="medium">
        <color rgb="FF000000"/>
      </bottom>
      <diagonal/>
    </border>
    <border>
      <left style="mediumDashed">
        <color rgb="FF4F81BD"/>
      </left>
      <right style="medium">
        <color rgb="FF000000"/>
      </right>
      <top style="mediumDashed">
        <color rgb="FF4F81BD"/>
      </top>
      <bottom style="medium">
        <color rgb="FF000000"/>
      </bottom>
      <diagonal/>
    </border>
    <border>
      <left style="mediumDashed">
        <color rgb="FF4F81BD"/>
      </left>
      <right/>
      <top style="mediumDashed">
        <color rgb="FF4F81BD"/>
      </top>
      <bottom/>
      <diagonal/>
    </border>
    <border>
      <left style="mediumDashed">
        <color rgb="FF4F81BD"/>
      </left>
      <right/>
      <top/>
      <bottom style="medium">
        <color rgb="FF4F81BD"/>
      </bottom>
      <diagonal/>
    </border>
    <border>
      <left style="mediumDashed">
        <color rgb="FF4F81BD"/>
      </left>
      <right style="medium">
        <color rgb="FF4F81BD"/>
      </right>
      <top style="mediumDashed">
        <color rgb="FF4F81BD"/>
      </top>
      <bottom/>
      <diagonal/>
    </border>
    <border>
      <left style="mediumDashed">
        <color rgb="FF4F81BD"/>
      </left>
      <right style="medium">
        <color rgb="FF4F81BD"/>
      </right>
      <top/>
      <bottom style="medium">
        <color rgb="FF4F81BD"/>
      </bottom>
      <diagonal/>
    </border>
    <border>
      <left style="medium">
        <color rgb="FF4F81BD"/>
      </left>
      <right style="mediumDashed">
        <color rgb="FF4F81BD"/>
      </right>
      <top style="mediumDashed">
        <color rgb="FF4F81BD"/>
      </top>
      <bottom/>
      <diagonal/>
    </border>
    <border>
      <left style="medium">
        <color rgb="FF4F81BD"/>
      </left>
      <right style="mediumDashed">
        <color rgb="FF4F81BD"/>
      </right>
      <top/>
      <bottom style="medium">
        <color rgb="FF4F81BD"/>
      </bottom>
      <diagonal/>
    </border>
    <border>
      <left style="mediumDashed">
        <color rgb="FF4F81BD"/>
      </left>
      <right style="mediumDashed">
        <color rgb="FF4F81BD"/>
      </right>
      <top style="mediumDashed">
        <color rgb="FF4F81BD"/>
      </top>
      <bottom/>
      <diagonal/>
    </border>
    <border>
      <left style="mediumDashed">
        <color rgb="FF4F81BD"/>
      </left>
      <right style="mediumDashed">
        <color rgb="FF4F81BD"/>
      </right>
      <top/>
      <bottom style="medium">
        <color rgb="FF4F81BD"/>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4" fillId="0" borderId="0"/>
    <xf numFmtId="9" fontId="1" fillId="0" borderId="0" applyFont="0" applyFill="0" applyBorder="0" applyAlignment="0" applyProtection="0"/>
    <xf numFmtId="0" fontId="51" fillId="0" borderId="0" applyNumberFormat="0" applyFill="0" applyBorder="0" applyAlignment="0" applyProtection="0"/>
  </cellStyleXfs>
  <cellXfs count="564">
    <xf numFmtId="0" fontId="0" fillId="0" borderId="0" xfId="0"/>
    <xf numFmtId="0" fontId="3" fillId="0" borderId="0" xfId="0" applyFont="1"/>
    <xf numFmtId="0" fontId="0" fillId="0" borderId="0" xfId="0" applyAlignment="1">
      <alignment horizontal="center"/>
    </xf>
    <xf numFmtId="0" fontId="5" fillId="0" borderId="0" xfId="0" applyFont="1"/>
    <xf numFmtId="0" fontId="6" fillId="0" borderId="0" xfId="0" applyFont="1"/>
    <xf numFmtId="0" fontId="7" fillId="0" borderId="0" xfId="0" applyFont="1"/>
    <xf numFmtId="165" fontId="6" fillId="0" borderId="0" xfId="0" applyNumberFormat="1" applyFont="1"/>
    <xf numFmtId="0" fontId="6" fillId="0" borderId="0" xfId="0" applyFont="1" applyBorder="1"/>
    <xf numFmtId="0" fontId="7" fillId="0" borderId="0" xfId="0" applyFont="1" applyAlignment="1">
      <alignment horizontal="center"/>
    </xf>
    <xf numFmtId="0" fontId="7" fillId="2" borderId="1" xfId="0" applyFont="1" applyFill="1" applyBorder="1" applyAlignment="1">
      <alignment horizontal="center"/>
    </xf>
    <xf numFmtId="0" fontId="7" fillId="2" borderId="2" xfId="0" applyFont="1" applyFill="1" applyBorder="1" applyAlignment="1">
      <alignment horizontal="center"/>
    </xf>
    <xf numFmtId="165" fontId="7" fillId="2" borderId="1" xfId="0" applyNumberFormat="1" applyFont="1" applyFill="1" applyBorder="1" applyAlignment="1">
      <alignment horizontal="center"/>
    </xf>
    <xf numFmtId="0" fontId="7" fillId="0" borderId="3" xfId="0" applyFont="1" applyFill="1" applyBorder="1" applyAlignment="1">
      <alignment horizontal="center"/>
    </xf>
    <xf numFmtId="0" fontId="6" fillId="0" borderId="0" xfId="0" applyFont="1" applyFill="1" applyBorder="1"/>
    <xf numFmtId="0" fontId="7" fillId="0" borderId="4" xfId="0" applyFont="1" applyBorder="1" applyAlignment="1">
      <alignment horizontal="center"/>
    </xf>
    <xf numFmtId="0" fontId="7" fillId="0" borderId="5" xfId="0" applyFont="1" applyBorder="1" applyAlignment="1">
      <alignment horizontal="center"/>
    </xf>
    <xf numFmtId="165" fontId="7" fillId="0" borderId="4" xfId="0" applyNumberFormat="1" applyFont="1" applyBorder="1" applyAlignment="1">
      <alignment horizontal="center"/>
    </xf>
    <xf numFmtId="49" fontId="7" fillId="0" borderId="0" xfId="0" applyNumberFormat="1" applyFont="1" applyAlignment="1">
      <alignment horizontal="center"/>
    </xf>
    <xf numFmtId="0" fontId="6" fillId="6" borderId="6" xfId="0" applyFont="1" applyFill="1" applyBorder="1"/>
    <xf numFmtId="165" fontId="6" fillId="0" borderId="7" xfId="0" applyNumberFormat="1" applyFont="1" applyBorder="1" applyAlignment="1">
      <alignment horizontal="center"/>
    </xf>
    <xf numFmtId="0" fontId="6" fillId="0" borderId="8" xfId="0" applyFont="1" applyBorder="1" applyAlignment="1">
      <alignment horizontal="center"/>
    </xf>
    <xf numFmtId="165" fontId="6" fillId="0" borderId="8" xfId="0" applyNumberFormat="1" applyFont="1" applyBorder="1" applyAlignment="1">
      <alignment horizontal="center"/>
    </xf>
    <xf numFmtId="49" fontId="7" fillId="0" borderId="3" xfId="0" applyNumberFormat="1" applyFont="1" applyFill="1" applyBorder="1" applyAlignment="1">
      <alignment horizontal="center"/>
    </xf>
    <xf numFmtId="49" fontId="7" fillId="0" borderId="0" xfId="0" applyNumberFormat="1" applyFont="1" applyBorder="1" applyAlignment="1">
      <alignment horizontal="center"/>
    </xf>
    <xf numFmtId="165" fontId="6" fillId="0" borderId="9" xfId="0" applyNumberFormat="1" applyFont="1" applyBorder="1" applyAlignment="1">
      <alignment horizontal="center"/>
    </xf>
    <xf numFmtId="0" fontId="6" fillId="0" borderId="9" xfId="0" applyFont="1" applyBorder="1" applyAlignment="1">
      <alignment horizontal="center"/>
    </xf>
    <xf numFmtId="165" fontId="6" fillId="0" borderId="10" xfId="0" applyNumberFormat="1" applyFont="1" applyBorder="1" applyAlignment="1">
      <alignment horizontal="center"/>
    </xf>
    <xf numFmtId="0" fontId="6" fillId="0" borderId="3" xfId="0" applyFont="1" applyFill="1" applyBorder="1"/>
    <xf numFmtId="0" fontId="6" fillId="0" borderId="10" xfId="0" applyFont="1" applyBorder="1" applyAlignment="1">
      <alignment horizontal="center"/>
    </xf>
    <xf numFmtId="165" fontId="6" fillId="0" borderId="3" xfId="0" applyNumberFormat="1" applyFont="1" applyFill="1" applyBorder="1"/>
    <xf numFmtId="165" fontId="6" fillId="0" borderId="0" xfId="0" applyNumberFormat="1" applyFont="1" applyBorder="1"/>
    <xf numFmtId="49" fontId="7" fillId="7" borderId="0" xfId="0" applyNumberFormat="1" applyFont="1" applyFill="1" applyAlignment="1">
      <alignment horizontal="center"/>
    </xf>
    <xf numFmtId="0" fontId="6" fillId="7" borderId="0" xfId="0" applyFont="1" applyFill="1"/>
    <xf numFmtId="165" fontId="6" fillId="7" borderId="9" xfId="0" applyNumberFormat="1" applyFont="1" applyFill="1" applyBorder="1" applyAlignment="1">
      <alignment horizontal="center"/>
    </xf>
    <xf numFmtId="0" fontId="6" fillId="7" borderId="10" xfId="0" applyFont="1" applyFill="1" applyBorder="1" applyAlignment="1">
      <alignment horizontal="center"/>
    </xf>
    <xf numFmtId="165" fontId="6" fillId="7" borderId="10" xfId="0" applyNumberFormat="1" applyFont="1" applyFill="1" applyBorder="1" applyAlignment="1">
      <alignment horizontal="center"/>
    </xf>
    <xf numFmtId="0" fontId="6" fillId="7" borderId="3" xfId="0" applyFont="1" applyFill="1" applyBorder="1"/>
    <xf numFmtId="0" fontId="6" fillId="7" borderId="0" xfId="0" applyFont="1" applyFill="1" applyBorder="1"/>
    <xf numFmtId="165" fontId="6" fillId="0" borderId="11" xfId="0" applyNumberFormat="1" applyFont="1" applyBorder="1" applyAlignment="1">
      <alignment horizontal="center"/>
    </xf>
    <xf numFmtId="49" fontId="7" fillId="0" borderId="0" xfId="0" applyNumberFormat="1" applyFont="1" applyFill="1" applyAlignment="1">
      <alignment horizontal="center"/>
    </xf>
    <xf numFmtId="0" fontId="6" fillId="0" borderId="0" xfId="0" applyFont="1" applyFill="1"/>
    <xf numFmtId="165" fontId="6" fillId="0" borderId="12" xfId="0" applyNumberFormat="1" applyFont="1" applyFill="1" applyBorder="1" applyAlignment="1">
      <alignment horizontal="center"/>
    </xf>
    <xf numFmtId="0" fontId="6" fillId="0" borderId="13" xfId="0" applyFont="1" applyFill="1" applyBorder="1" applyAlignment="1">
      <alignment horizontal="center"/>
    </xf>
    <xf numFmtId="165" fontId="6" fillId="0" borderId="13" xfId="0" applyNumberFormat="1" applyFont="1" applyFill="1" applyBorder="1" applyAlignment="1">
      <alignment horizontal="center"/>
    </xf>
    <xf numFmtId="49" fontId="7" fillId="0" borderId="0" xfId="0" applyNumberFormat="1" applyFont="1" applyFill="1" applyBorder="1" applyAlignment="1">
      <alignment horizontal="center"/>
    </xf>
    <xf numFmtId="166" fontId="6" fillId="0" borderId="10" xfId="1" applyNumberFormat="1" applyFont="1" applyBorder="1" applyAlignment="1">
      <alignment horizontal="center"/>
    </xf>
    <xf numFmtId="165" fontId="6" fillId="7" borderId="12" xfId="0" applyNumberFormat="1" applyFont="1" applyFill="1" applyBorder="1" applyAlignment="1">
      <alignment horizontal="center"/>
    </xf>
    <xf numFmtId="49" fontId="7" fillId="7" borderId="0" xfId="0" applyNumberFormat="1" applyFont="1" applyFill="1" applyBorder="1" applyAlignment="1">
      <alignment horizontal="center"/>
    </xf>
    <xf numFmtId="165" fontId="6" fillId="0" borderId="12" xfId="0" applyNumberFormat="1" applyFont="1" applyBorder="1" applyAlignment="1">
      <alignment horizontal="center"/>
    </xf>
    <xf numFmtId="0" fontId="6" fillId="0" borderId="13" xfId="0" applyFont="1" applyBorder="1" applyAlignment="1">
      <alignment horizontal="center"/>
    </xf>
    <xf numFmtId="165" fontId="6" fillId="0" borderId="13" xfId="0" applyNumberFormat="1" applyFont="1" applyBorder="1" applyAlignment="1">
      <alignment horizontal="center"/>
    </xf>
    <xf numFmtId="0" fontId="6" fillId="0" borderId="14" xfId="0" applyFont="1" applyFill="1" applyBorder="1"/>
    <xf numFmtId="0" fontId="6" fillId="0" borderId="15" xfId="0" applyFont="1" applyFill="1" applyBorder="1"/>
    <xf numFmtId="0" fontId="6" fillId="2" borderId="2" xfId="0" applyFont="1" applyFill="1" applyBorder="1" applyAlignment="1">
      <alignment horizontal="center"/>
    </xf>
    <xf numFmtId="0" fontId="6" fillId="2" borderId="1" xfId="0" applyFont="1" applyFill="1" applyBorder="1" applyAlignment="1">
      <alignment horizontal="center"/>
    </xf>
    <xf numFmtId="165" fontId="6" fillId="0" borderId="3" xfId="0" applyNumberFormat="1" applyFont="1" applyFill="1" applyBorder="1" applyAlignment="1">
      <alignment horizontal="center"/>
    </xf>
    <xf numFmtId="0" fontId="7" fillId="2" borderId="16" xfId="0" applyFont="1" applyFill="1" applyBorder="1"/>
    <xf numFmtId="0" fontId="6" fillId="2" borderId="17" xfId="0" applyFont="1" applyFill="1" applyBorder="1"/>
    <xf numFmtId="165" fontId="7" fillId="2" borderId="17" xfId="0" applyNumberFormat="1" applyFont="1" applyFill="1" applyBorder="1" applyAlignment="1">
      <alignment horizontal="center"/>
    </xf>
    <xf numFmtId="165" fontId="7" fillId="2" borderId="17" xfId="1" applyNumberFormat="1" applyFont="1" applyFill="1" applyBorder="1" applyAlignment="1">
      <alignment horizontal="center"/>
    </xf>
    <xf numFmtId="1" fontId="7" fillId="0" borderId="3" xfId="0" applyNumberFormat="1" applyFont="1" applyFill="1" applyBorder="1" applyAlignment="1">
      <alignment horizontal="center"/>
    </xf>
    <xf numFmtId="0" fontId="6" fillId="0" borderId="18" xfId="0" applyFont="1" applyFill="1" applyBorder="1"/>
    <xf numFmtId="0" fontId="6" fillId="0" borderId="19" xfId="0" applyFont="1" applyFill="1" applyBorder="1"/>
    <xf numFmtId="0" fontId="6" fillId="2" borderId="5" xfId="0" applyFont="1" applyFill="1" applyBorder="1" applyAlignment="1">
      <alignment horizontal="center"/>
    </xf>
    <xf numFmtId="0" fontId="6" fillId="2" borderId="4" xfId="0" applyFont="1" applyFill="1" applyBorder="1" applyAlignment="1">
      <alignment horizontal="center"/>
    </xf>
    <xf numFmtId="0" fontId="7" fillId="0" borderId="0" xfId="0" applyFont="1" applyFill="1"/>
    <xf numFmtId="165" fontId="7" fillId="0" borderId="3" xfId="0" applyNumberFormat="1" applyFont="1" applyFill="1" applyBorder="1" applyAlignment="1">
      <alignment horizontal="center"/>
    </xf>
    <xf numFmtId="0" fontId="7" fillId="3" borderId="0" xfId="0" applyFont="1" applyFill="1" applyAlignment="1">
      <alignment horizontal="center"/>
    </xf>
    <xf numFmtId="165" fontId="6" fillId="7" borderId="3" xfId="0" applyNumberFormat="1" applyFont="1" applyFill="1" applyBorder="1"/>
    <xf numFmtId="165" fontId="6" fillId="0" borderId="20" xfId="0" applyNumberFormat="1" applyFont="1" applyBorder="1" applyAlignment="1">
      <alignment horizontal="center"/>
    </xf>
    <xf numFmtId="165" fontId="6" fillId="0" borderId="20" xfId="0" applyNumberFormat="1" applyFont="1" applyFill="1" applyBorder="1" applyAlignment="1">
      <alignment horizontal="center"/>
    </xf>
    <xf numFmtId="0" fontId="6" fillId="0" borderId="20" xfId="0" applyFont="1" applyFill="1" applyBorder="1" applyAlignment="1">
      <alignment horizontal="center"/>
    </xf>
    <xf numFmtId="0" fontId="6" fillId="0" borderId="3" xfId="0" applyFont="1" applyBorder="1" applyAlignment="1">
      <alignment horizontal="center"/>
    </xf>
    <xf numFmtId="0" fontId="6" fillId="0" borderId="21" xfId="0" applyFont="1" applyBorder="1" applyAlignment="1">
      <alignment horizontal="center"/>
    </xf>
    <xf numFmtId="165" fontId="6" fillId="0" borderId="0" xfId="0" applyNumberFormat="1" applyFont="1" applyFill="1" applyBorder="1"/>
    <xf numFmtId="49" fontId="7" fillId="3" borderId="0" xfId="0" applyNumberFormat="1" applyFont="1" applyFill="1" applyAlignment="1">
      <alignment horizontal="center"/>
    </xf>
    <xf numFmtId="0" fontId="6" fillId="0" borderId="12" xfId="0" applyFont="1" applyFill="1" applyBorder="1" applyAlignment="1">
      <alignment horizontal="center"/>
    </xf>
    <xf numFmtId="0" fontId="6" fillId="4" borderId="0" xfId="0" applyFont="1" applyFill="1"/>
    <xf numFmtId="0" fontId="6" fillId="4" borderId="0" xfId="0" applyFont="1" applyFill="1" applyBorder="1"/>
    <xf numFmtId="165" fontId="7" fillId="2" borderId="2" xfId="0" applyNumberFormat="1" applyFont="1" applyFill="1" applyBorder="1" applyAlignment="1">
      <alignment horizontal="center"/>
    </xf>
    <xf numFmtId="165" fontId="7" fillId="0" borderId="5" xfId="0" applyNumberFormat="1" applyFont="1" applyBorder="1" applyAlignment="1">
      <alignment horizontal="center"/>
    </xf>
    <xf numFmtId="0" fontId="6" fillId="0" borderId="6" xfId="0" applyFont="1" applyBorder="1"/>
    <xf numFmtId="0" fontId="6" fillId="3" borderId="0" xfId="0" applyFont="1" applyFill="1"/>
    <xf numFmtId="165" fontId="6" fillId="3" borderId="9" xfId="0" applyNumberFormat="1" applyFont="1" applyFill="1" applyBorder="1" applyAlignment="1">
      <alignment horizontal="center"/>
    </xf>
    <xf numFmtId="0" fontId="6" fillId="3" borderId="10" xfId="0" applyFont="1" applyFill="1" applyBorder="1" applyAlignment="1">
      <alignment horizontal="center"/>
    </xf>
    <xf numFmtId="0" fontId="0" fillId="0" borderId="3" xfId="0" applyBorder="1"/>
    <xf numFmtId="167" fontId="6" fillId="0" borderId="7" xfId="0" applyNumberFormat="1" applyFont="1" applyBorder="1" applyAlignment="1">
      <alignment horizontal="center"/>
    </xf>
    <xf numFmtId="167" fontId="6" fillId="0" borderId="9" xfId="0" applyNumberFormat="1" applyFont="1" applyBorder="1" applyAlignment="1">
      <alignment horizontal="center"/>
    </xf>
    <xf numFmtId="0" fontId="6" fillId="0" borderId="6" xfId="0" applyFont="1" applyFill="1" applyBorder="1"/>
    <xf numFmtId="165" fontId="6" fillId="0" borderId="9" xfId="0" applyNumberFormat="1" applyFont="1" applyFill="1" applyBorder="1" applyAlignment="1">
      <alignment horizontal="center"/>
    </xf>
    <xf numFmtId="167" fontId="6" fillId="0" borderId="9" xfId="0" applyNumberFormat="1" applyFont="1" applyFill="1" applyBorder="1" applyAlignment="1">
      <alignment horizontal="center"/>
    </xf>
    <xf numFmtId="0" fontId="0" fillId="0" borderId="3" xfId="0" applyFill="1" applyBorder="1"/>
    <xf numFmtId="0" fontId="0" fillId="0" borderId="0" xfId="0" applyFill="1"/>
    <xf numFmtId="167" fontId="6" fillId="0" borderId="11" xfId="0" applyNumberFormat="1" applyFont="1" applyBorder="1" applyAlignment="1">
      <alignment horizontal="center"/>
    </xf>
    <xf numFmtId="49" fontId="7" fillId="8" borderId="0" xfId="0" applyNumberFormat="1" applyFont="1" applyFill="1" applyAlignment="1">
      <alignment horizontal="center"/>
    </xf>
    <xf numFmtId="0" fontId="6" fillId="8" borderId="6" xfId="0" applyFont="1" applyFill="1" applyBorder="1"/>
    <xf numFmtId="0" fontId="6" fillId="8" borderId="0" xfId="0" applyFont="1" applyFill="1"/>
    <xf numFmtId="165" fontId="6" fillId="8" borderId="9" xfId="0" applyNumberFormat="1" applyFont="1" applyFill="1" applyBorder="1" applyAlignment="1">
      <alignment horizontal="center"/>
    </xf>
    <xf numFmtId="167" fontId="6" fillId="8" borderId="9" xfId="0" applyNumberFormat="1" applyFont="1" applyFill="1" applyBorder="1" applyAlignment="1">
      <alignment horizontal="center"/>
    </xf>
    <xf numFmtId="0" fontId="0" fillId="8" borderId="3" xfId="0" applyFill="1" applyBorder="1"/>
    <xf numFmtId="0" fontId="0" fillId="8" borderId="0" xfId="0" applyFill="1"/>
    <xf numFmtId="0" fontId="6" fillId="8" borderId="4" xfId="0" applyFont="1" applyFill="1" applyBorder="1" applyAlignment="1">
      <alignment horizontal="center"/>
    </xf>
    <xf numFmtId="167" fontId="6" fillId="8" borderId="5" xfId="0" applyNumberFormat="1" applyFont="1" applyFill="1" applyBorder="1" applyAlignment="1">
      <alignment horizontal="center"/>
    </xf>
    <xf numFmtId="0" fontId="5" fillId="0" borderId="0" xfId="0" applyFont="1" applyFill="1" applyBorder="1"/>
    <xf numFmtId="0" fontId="7" fillId="0" borderId="0" xfId="0" applyFont="1" applyFill="1" applyBorder="1"/>
    <xf numFmtId="0" fontId="7" fillId="0" borderId="0" xfId="0" applyFont="1" applyFill="1" applyBorder="1" applyAlignment="1">
      <alignment horizontal="center"/>
    </xf>
    <xf numFmtId="0" fontId="0" fillId="0" borderId="0" xfId="0" applyBorder="1"/>
    <xf numFmtId="0" fontId="6" fillId="0" borderId="4" xfId="0" applyFont="1" applyBorder="1" applyAlignment="1">
      <alignment horizontal="center"/>
    </xf>
    <xf numFmtId="167" fontId="6" fillId="0" borderId="5" xfId="0" applyNumberFormat="1" applyFont="1" applyBorder="1" applyAlignment="1">
      <alignment horizontal="center"/>
    </xf>
    <xf numFmtId="0" fontId="6" fillId="0" borderId="5" xfId="0" applyFont="1" applyBorder="1" applyAlignment="1">
      <alignment horizontal="center"/>
    </xf>
    <xf numFmtId="0" fontId="8" fillId="0" borderId="0" xfId="0" applyFont="1"/>
    <xf numFmtId="0" fontId="9" fillId="0" borderId="0" xfId="0" applyFont="1"/>
    <xf numFmtId="0" fontId="9" fillId="0" borderId="0" xfId="0" applyFont="1" applyAlignment="1">
      <alignment horizontal="center"/>
    </xf>
    <xf numFmtId="0" fontId="3" fillId="0" borderId="0" xfId="0" applyFont="1" applyAlignment="1">
      <alignment horizontal="center"/>
    </xf>
    <xf numFmtId="0" fontId="3" fillId="0" borderId="22" xfId="0" applyFont="1" applyBorder="1" applyAlignment="1">
      <alignment horizontal="center"/>
    </xf>
    <xf numFmtId="0" fontId="9" fillId="0" borderId="21" xfId="0" applyFont="1" applyBorder="1" applyAlignment="1">
      <alignment horizontal="center"/>
    </xf>
    <xf numFmtId="165" fontId="9" fillId="0" borderId="6" xfId="0" applyNumberFormat="1" applyFont="1" applyBorder="1" applyAlignment="1">
      <alignment horizontal="center"/>
    </xf>
    <xf numFmtId="165" fontId="9" fillId="0" borderId="16" xfId="0" applyNumberFormat="1" applyFont="1" applyBorder="1" applyAlignment="1">
      <alignment horizontal="center"/>
    </xf>
    <xf numFmtId="165" fontId="9" fillId="0" borderId="23" xfId="0" applyNumberFormat="1" applyFont="1" applyBorder="1" applyAlignment="1">
      <alignment horizontal="center"/>
    </xf>
    <xf numFmtId="165" fontId="3" fillId="0" borderId="22" xfId="0" applyNumberFormat="1" applyFont="1" applyBorder="1" applyAlignment="1">
      <alignment horizontal="center"/>
    </xf>
    <xf numFmtId="0" fontId="0" fillId="0" borderId="0" xfId="0" applyAlignment="1">
      <alignment horizontal="left"/>
    </xf>
    <xf numFmtId="1" fontId="0" fillId="0" borderId="0" xfId="0" applyNumberFormat="1" applyAlignment="1">
      <alignment horizontal="center"/>
    </xf>
    <xf numFmtId="0" fontId="0" fillId="9" borderId="0" xfId="0" applyFill="1"/>
    <xf numFmtId="0" fontId="8" fillId="0" borderId="0" xfId="0" applyFont="1" applyAlignment="1">
      <alignment horizontal="left"/>
    </xf>
    <xf numFmtId="0" fontId="10" fillId="0" borderId="0" xfId="0" quotePrefix="1" applyFont="1" applyAlignment="1">
      <alignment horizontal="left"/>
    </xf>
    <xf numFmtId="0" fontId="3" fillId="0" borderId="0" xfId="0" applyFont="1" applyAlignment="1">
      <alignment horizontal="left"/>
    </xf>
    <xf numFmtId="0" fontId="11" fillId="0" borderId="0" xfId="0" applyFont="1" applyAlignment="1">
      <alignment horizontal="left"/>
    </xf>
    <xf numFmtId="167" fontId="0" fillId="0" borderId="0" xfId="0" applyNumberFormat="1" applyAlignment="1">
      <alignment horizontal="center"/>
    </xf>
    <xf numFmtId="14" fontId="0" fillId="0" borderId="0" xfId="0" applyNumberFormat="1" applyAlignment="1">
      <alignment horizontal="left"/>
    </xf>
    <xf numFmtId="0" fontId="0" fillId="0" borderId="0" xfId="0" quotePrefix="1" applyAlignment="1">
      <alignment horizontal="center"/>
    </xf>
    <xf numFmtId="167" fontId="3" fillId="0" borderId="0" xfId="0" applyNumberFormat="1" applyFont="1" applyAlignment="1">
      <alignment horizontal="center"/>
    </xf>
    <xf numFmtId="0" fontId="3" fillId="9" borderId="0" xfId="0" applyFont="1" applyFill="1"/>
    <xf numFmtId="0" fontId="3" fillId="9" borderId="0" xfId="0" applyFont="1" applyFill="1" applyAlignment="1">
      <alignment horizontal="left"/>
    </xf>
    <xf numFmtId="1" fontId="3" fillId="0" borderId="0" xfId="0" applyNumberFormat="1" applyFont="1" applyAlignment="1">
      <alignment horizontal="center"/>
    </xf>
    <xf numFmtId="0" fontId="0" fillId="9" borderId="0" xfId="0" applyFill="1" applyAlignment="1">
      <alignment horizontal="left"/>
    </xf>
    <xf numFmtId="167" fontId="0" fillId="0" borderId="0" xfId="1" applyNumberFormat="1" applyFont="1" applyAlignment="1">
      <alignment horizontal="center"/>
    </xf>
    <xf numFmtId="1" fontId="0" fillId="0" borderId="0" xfId="0" applyNumberFormat="1"/>
    <xf numFmtId="0" fontId="0" fillId="0" borderId="0" xfId="0" applyAlignment="1">
      <alignment horizontal="right"/>
    </xf>
    <xf numFmtId="0" fontId="13" fillId="0" borderId="0" xfId="0" applyFont="1" applyAlignment="1">
      <alignment horizontal="left"/>
    </xf>
    <xf numFmtId="0" fontId="3" fillId="0" borderId="0" xfId="0" applyFont="1" applyAlignment="1">
      <alignment horizontal="right"/>
    </xf>
    <xf numFmtId="1" fontId="0" fillId="0" borderId="0" xfId="0" applyNumberFormat="1" applyAlignment="1">
      <alignment horizontal="right"/>
    </xf>
    <xf numFmtId="167" fontId="3" fillId="0" borderId="0" xfId="0" applyNumberFormat="1" applyFont="1"/>
    <xf numFmtId="0" fontId="9" fillId="0" borderId="0" xfId="0" applyFont="1" applyAlignment="1">
      <alignment horizontal="right"/>
    </xf>
    <xf numFmtId="0" fontId="3" fillId="6" borderId="0" xfId="0" applyFont="1" applyFill="1" applyAlignment="1">
      <alignment horizontal="center"/>
    </xf>
    <xf numFmtId="0" fontId="9" fillId="6" borderId="0" xfId="0" applyFont="1" applyFill="1"/>
    <xf numFmtId="0" fontId="3" fillId="9" borderId="0" xfId="0" applyFont="1" applyFill="1" applyAlignment="1">
      <alignment horizontal="center"/>
    </xf>
    <xf numFmtId="0" fontId="0" fillId="9" borderId="0" xfId="0" applyFill="1" applyAlignment="1">
      <alignment horizontal="center"/>
    </xf>
    <xf numFmtId="164" fontId="3" fillId="9" borderId="0" xfId="0" applyNumberFormat="1" applyFont="1" applyFill="1"/>
    <xf numFmtId="164" fontId="0" fillId="9" borderId="0" xfId="0" applyNumberFormat="1" applyFill="1"/>
    <xf numFmtId="1" fontId="0" fillId="9" borderId="0" xfId="0" applyNumberFormat="1" applyFill="1"/>
    <xf numFmtId="0" fontId="9" fillId="9" borderId="0" xfId="0" applyFont="1" applyFill="1"/>
    <xf numFmtId="0" fontId="3" fillId="0" borderId="0" xfId="0" applyFont="1" applyFill="1"/>
    <xf numFmtId="0" fontId="3" fillId="0" borderId="0" xfId="0" applyFont="1" applyFill="1" applyAlignment="1">
      <alignment horizontal="left"/>
    </xf>
    <xf numFmtId="0" fontId="0" fillId="0" borderId="0" xfId="0" applyFill="1" applyAlignment="1">
      <alignment horizontal="left"/>
    </xf>
    <xf numFmtId="0" fontId="9" fillId="0" borderId="0" xfId="0" applyFont="1" applyFill="1"/>
    <xf numFmtId="0" fontId="0" fillId="0" borderId="0" xfId="0" applyFill="1" applyAlignment="1">
      <alignment horizontal="center"/>
    </xf>
    <xf numFmtId="0" fontId="9" fillId="0" borderId="0" xfId="0" applyFont="1" applyAlignment="1">
      <alignment horizontal="left"/>
    </xf>
    <xf numFmtId="0" fontId="9" fillId="9" borderId="0" xfId="0" applyFont="1" applyFill="1" applyAlignment="1">
      <alignment horizontal="left"/>
    </xf>
    <xf numFmtId="0" fontId="9" fillId="0" borderId="0" xfId="0" applyFont="1" applyFill="1" applyAlignment="1">
      <alignment horizontal="left"/>
    </xf>
    <xf numFmtId="167" fontId="10" fillId="0" borderId="0" xfId="0" applyNumberFormat="1" applyFont="1" applyAlignment="1">
      <alignment horizontal="center"/>
    </xf>
    <xf numFmtId="167" fontId="0" fillId="0" borderId="0" xfId="0" applyNumberFormat="1"/>
    <xf numFmtId="167" fontId="0" fillId="0" borderId="0" xfId="0" applyNumberFormat="1" applyFill="1" applyAlignment="1">
      <alignment horizontal="center"/>
    </xf>
    <xf numFmtId="0" fontId="8" fillId="9" borderId="0" xfId="0" applyFont="1" applyFill="1" applyAlignment="1">
      <alignment horizontal="left"/>
    </xf>
    <xf numFmtId="167" fontId="0" fillId="9" borderId="0" xfId="0" applyNumberFormat="1" applyFill="1" applyAlignment="1">
      <alignment horizontal="center"/>
    </xf>
    <xf numFmtId="1" fontId="3" fillId="6" borderId="0" xfId="0" applyNumberFormat="1" applyFont="1" applyFill="1" applyAlignment="1">
      <alignment horizontal="center"/>
    </xf>
    <xf numFmtId="0" fontId="3" fillId="0" borderId="0" xfId="0" applyFont="1" applyFill="1" applyAlignment="1">
      <alignment horizontal="center"/>
    </xf>
    <xf numFmtId="1" fontId="0" fillId="6" borderId="0" xfId="0" applyNumberFormat="1" applyFill="1" applyAlignment="1">
      <alignment horizontal="center"/>
    </xf>
    <xf numFmtId="167" fontId="9" fillId="0" borderId="0" xfId="0" applyNumberFormat="1" applyFont="1" applyAlignment="1">
      <alignment horizontal="center"/>
    </xf>
    <xf numFmtId="0" fontId="16" fillId="0" borderId="0" xfId="0" applyFont="1"/>
    <xf numFmtId="0" fontId="17" fillId="0" borderId="0" xfId="0" applyFont="1"/>
    <xf numFmtId="43" fontId="16" fillId="0" borderId="0" xfId="3" applyFont="1"/>
    <xf numFmtId="0" fontId="18" fillId="0" borderId="0" xfId="0" applyFont="1" applyAlignment="1">
      <alignment horizontal="left"/>
    </xf>
    <xf numFmtId="0" fontId="18" fillId="0" borderId="0" xfId="0" applyFont="1"/>
    <xf numFmtId="0" fontId="18" fillId="0" borderId="0" xfId="0" applyFont="1" applyAlignment="1"/>
    <xf numFmtId="43" fontId="18" fillId="0" borderId="0" xfId="3" applyFont="1"/>
    <xf numFmtId="20" fontId="16" fillId="0" borderId="0" xfId="0" applyNumberFormat="1" applyFont="1"/>
    <xf numFmtId="0" fontId="18" fillId="0" borderId="0" xfId="0" applyFont="1" applyAlignment="1">
      <alignment horizontal="right"/>
    </xf>
    <xf numFmtId="43" fontId="18" fillId="0" borderId="0" xfId="3" applyFont="1" applyAlignment="1">
      <alignment horizontal="right"/>
    </xf>
    <xf numFmtId="0" fontId="16" fillId="0" borderId="0" xfId="0" applyFont="1" applyAlignment="1">
      <alignment horizontal="center"/>
    </xf>
    <xf numFmtId="43" fontId="16" fillId="0" borderId="0" xfId="3" applyFont="1" applyAlignment="1">
      <alignment horizontal="center"/>
    </xf>
    <xf numFmtId="0" fontId="16" fillId="0" borderId="0" xfId="0" applyFont="1" applyAlignment="1">
      <alignment horizontal="left"/>
    </xf>
    <xf numFmtId="0" fontId="16" fillId="0" borderId="24" xfId="0" applyFont="1" applyBorder="1" applyAlignment="1">
      <alignment horizontal="center"/>
    </xf>
    <xf numFmtId="0" fontId="16" fillId="0" borderId="25" xfId="0" applyFont="1" applyBorder="1" applyAlignment="1">
      <alignment horizontal="left"/>
    </xf>
    <xf numFmtId="0" fontId="16" fillId="0" borderId="25" xfId="0" applyFont="1" applyBorder="1"/>
    <xf numFmtId="0" fontId="16" fillId="0" borderId="26" xfId="0" applyFont="1" applyBorder="1"/>
    <xf numFmtId="0" fontId="16" fillId="0" borderId="27" xfId="0" applyFont="1" applyBorder="1"/>
    <xf numFmtId="0" fontId="16" fillId="0" borderId="28" xfId="0" applyFont="1" applyBorder="1"/>
    <xf numFmtId="0" fontId="16" fillId="0" borderId="29" xfId="0" applyFont="1" applyBorder="1"/>
    <xf numFmtId="20" fontId="16" fillId="0" borderId="30" xfId="0" applyNumberFormat="1" applyFont="1" applyBorder="1"/>
    <xf numFmtId="0" fontId="16" fillId="0" borderId="21" xfId="0" applyFont="1" applyBorder="1"/>
    <xf numFmtId="0" fontId="16" fillId="0" borderId="31" xfId="0" applyFont="1" applyBorder="1"/>
    <xf numFmtId="0" fontId="16" fillId="0" borderId="30" xfId="0" applyFont="1" applyBorder="1"/>
    <xf numFmtId="0" fontId="16" fillId="0" borderId="32" xfId="0" applyFont="1" applyBorder="1"/>
    <xf numFmtId="0" fontId="16" fillId="0" borderId="33" xfId="0" applyFont="1" applyBorder="1"/>
    <xf numFmtId="0" fontId="16" fillId="0" borderId="34" xfId="0" applyFont="1" applyBorder="1"/>
    <xf numFmtId="0" fontId="19" fillId="0" borderId="0" xfId="0" applyFont="1"/>
    <xf numFmtId="0" fontId="19" fillId="0" borderId="35" xfId="0" applyFont="1" applyBorder="1"/>
    <xf numFmtId="0" fontId="19" fillId="0" borderId="21" xfId="0" applyFont="1" applyBorder="1"/>
    <xf numFmtId="0" fontId="19" fillId="0" borderId="36" xfId="0" applyFont="1" applyBorder="1"/>
    <xf numFmtId="43" fontId="19" fillId="0" borderId="0" xfId="3" applyFont="1"/>
    <xf numFmtId="0" fontId="16" fillId="0" borderId="35" xfId="0" applyFont="1" applyBorder="1"/>
    <xf numFmtId="0" fontId="16" fillId="0" borderId="36" xfId="0" applyFont="1" applyBorder="1"/>
    <xf numFmtId="0" fontId="16" fillId="0" borderId="37" xfId="0" applyFont="1" applyBorder="1"/>
    <xf numFmtId="0" fontId="16" fillId="0" borderId="38" xfId="0" applyFont="1" applyBorder="1"/>
    <xf numFmtId="43" fontId="16" fillId="0" borderId="0" xfId="3" applyFont="1" applyAlignment="1">
      <alignment horizontal="left"/>
    </xf>
    <xf numFmtId="0" fontId="16" fillId="0" borderId="0" xfId="0" applyFont="1" applyBorder="1"/>
    <xf numFmtId="0" fontId="16" fillId="0" borderId="39" xfId="0" applyFont="1" applyBorder="1" applyAlignment="1">
      <alignment horizontal="center"/>
    </xf>
    <xf numFmtId="0" fontId="16" fillId="0" borderId="19" xfId="0" applyFont="1" applyBorder="1"/>
    <xf numFmtId="0" fontId="16" fillId="0" borderId="2" xfId="0" applyFont="1" applyBorder="1"/>
    <xf numFmtId="0" fontId="16" fillId="0" borderId="40" xfId="0" applyFont="1" applyBorder="1"/>
    <xf numFmtId="0" fontId="16" fillId="0" borderId="41" xfId="0" applyFont="1" applyBorder="1"/>
    <xf numFmtId="0" fontId="16" fillId="0" borderId="15" xfId="0" applyFont="1" applyBorder="1"/>
    <xf numFmtId="0" fontId="16" fillId="0" borderId="5" xfId="0" applyFont="1" applyBorder="1"/>
    <xf numFmtId="0" fontId="16" fillId="0" borderId="42" xfId="0" applyFont="1" applyBorder="1"/>
    <xf numFmtId="0" fontId="16" fillId="0" borderId="21" xfId="0" applyFont="1" applyBorder="1" applyAlignment="1">
      <alignment horizontal="center"/>
    </xf>
    <xf numFmtId="0" fontId="16" fillId="0" borderId="43" xfId="0" applyFont="1" applyBorder="1"/>
    <xf numFmtId="0" fontId="16" fillId="0" borderId="24" xfId="0" applyFont="1" applyBorder="1"/>
    <xf numFmtId="0" fontId="16" fillId="0" borderId="44" xfId="0" applyFont="1" applyBorder="1"/>
    <xf numFmtId="0" fontId="16" fillId="0" borderId="45" xfId="0" applyFont="1" applyBorder="1"/>
    <xf numFmtId="43" fontId="16" fillId="0" borderId="0" xfId="3" applyFont="1" applyBorder="1"/>
    <xf numFmtId="0" fontId="16" fillId="0" borderId="39" xfId="0" applyFont="1" applyBorder="1"/>
    <xf numFmtId="0" fontId="16" fillId="0" borderId="46" xfId="0" applyFont="1" applyBorder="1"/>
    <xf numFmtId="0" fontId="16" fillId="0" borderId="47" xfId="0" applyFont="1" applyBorder="1"/>
    <xf numFmtId="0" fontId="18" fillId="0" borderId="43" xfId="0" applyFont="1" applyBorder="1"/>
    <xf numFmtId="0" fontId="20" fillId="0" borderId="0" xfId="0" applyFont="1"/>
    <xf numFmtId="0" fontId="18" fillId="0" borderId="0" xfId="0" applyFont="1" applyBorder="1"/>
    <xf numFmtId="43" fontId="18" fillId="0" borderId="0" xfId="3" applyFont="1" applyBorder="1"/>
    <xf numFmtId="0" fontId="18" fillId="0" borderId="0" xfId="0" applyFont="1" applyBorder="1" applyAlignment="1">
      <alignment horizontal="center"/>
    </xf>
    <xf numFmtId="43" fontId="18" fillId="0" borderId="0" xfId="3" applyFont="1" applyBorder="1" applyAlignment="1">
      <alignment horizontal="center"/>
    </xf>
    <xf numFmtId="43" fontId="16" fillId="0" borderId="14" xfId="3" applyFont="1" applyBorder="1"/>
    <xf numFmtId="9" fontId="16" fillId="0" borderId="0" xfId="0" applyNumberFormat="1" applyFont="1"/>
    <xf numFmtId="0" fontId="16" fillId="0" borderId="14" xfId="0" applyFont="1" applyBorder="1"/>
    <xf numFmtId="0" fontId="16" fillId="0" borderId="0" xfId="0" applyFont="1" applyAlignment="1">
      <alignment horizontal="right"/>
    </xf>
    <xf numFmtId="0" fontId="38" fillId="0" borderId="0" xfId="0" applyFont="1"/>
    <xf numFmtId="0" fontId="39" fillId="0" borderId="0" xfId="0" applyFont="1" applyAlignment="1">
      <alignment horizontal="left"/>
    </xf>
    <xf numFmtId="164" fontId="4" fillId="9" borderId="0" xfId="0" applyNumberFormat="1" applyFont="1" applyFill="1"/>
    <xf numFmtId="43" fontId="22" fillId="9" borderId="0" xfId="4" applyFont="1" applyFill="1" applyBorder="1"/>
    <xf numFmtId="43" fontId="23" fillId="10" borderId="0" xfId="4" applyFont="1" applyFill="1" applyAlignment="1">
      <alignment horizontal="left" indent="1"/>
    </xf>
    <xf numFmtId="43" fontId="22" fillId="10" borderId="0" xfId="4" applyFont="1" applyFill="1"/>
    <xf numFmtId="164" fontId="21" fillId="10" borderId="0" xfId="4" applyNumberFormat="1" applyFont="1" applyFill="1"/>
    <xf numFmtId="43" fontId="22" fillId="9" borderId="0" xfId="4" applyFont="1" applyFill="1"/>
    <xf numFmtId="43" fontId="24" fillId="10" borderId="0" xfId="4" applyFont="1" applyFill="1" applyAlignment="1">
      <alignment horizontal="left" indent="1"/>
    </xf>
    <xf numFmtId="43" fontId="24" fillId="0" borderId="0" xfId="4" applyFont="1"/>
    <xf numFmtId="43" fontId="22" fillId="0" borderId="0" xfId="4" applyFont="1"/>
    <xf numFmtId="43" fontId="25" fillId="0" borderId="0" xfId="4" applyFont="1" applyFill="1" applyBorder="1" applyAlignment="1">
      <alignment horizontal="left"/>
    </xf>
    <xf numFmtId="164" fontId="21" fillId="0" borderId="0" xfId="4" applyNumberFormat="1" applyFont="1"/>
    <xf numFmtId="43" fontId="22" fillId="0" borderId="0" xfId="4" applyFont="1" applyBorder="1"/>
    <xf numFmtId="164" fontId="21" fillId="0" borderId="0" xfId="4" applyNumberFormat="1" applyFont="1" applyBorder="1"/>
    <xf numFmtId="43" fontId="24" fillId="0" borderId="0" xfId="4" applyFont="1" applyFill="1" applyBorder="1"/>
    <xf numFmtId="43" fontId="25" fillId="0" borderId="0" xfId="4" applyFont="1" applyBorder="1"/>
    <xf numFmtId="43" fontId="21" fillId="0" borderId="0" xfId="4" applyFont="1" applyBorder="1"/>
    <xf numFmtId="43" fontId="25" fillId="0" borderId="0" xfId="4" applyFont="1" applyAlignment="1">
      <alignment horizontal="left"/>
    </xf>
    <xf numFmtId="43" fontId="21" fillId="0" borderId="0" xfId="4" applyFont="1" applyFill="1" applyBorder="1" applyAlignment="1">
      <alignment horizontal="left"/>
    </xf>
    <xf numFmtId="43" fontId="21" fillId="0" borderId="0" xfId="4" applyFont="1" applyFill="1" applyBorder="1"/>
    <xf numFmtId="164" fontId="21" fillId="0" borderId="0" xfId="4" applyNumberFormat="1" applyFont="1" applyFill="1" applyBorder="1"/>
    <xf numFmtId="1" fontId="25" fillId="0" borderId="0" xfId="4" applyNumberFormat="1" applyFont="1" applyFill="1" applyBorder="1" applyAlignment="1">
      <alignment horizontal="left"/>
    </xf>
    <xf numFmtId="1" fontId="21" fillId="0" borderId="0" xfId="4" applyNumberFormat="1" applyFont="1" applyFill="1" applyBorder="1"/>
    <xf numFmtId="43" fontId="22" fillId="9" borderId="0" xfId="4" applyFont="1" applyFill="1" applyBorder="1" applyAlignment="1">
      <alignment horizontal="center"/>
    </xf>
    <xf numFmtId="43" fontId="22" fillId="0" borderId="0" xfId="4" applyFont="1" applyBorder="1" applyAlignment="1">
      <alignment horizontal="center"/>
    </xf>
    <xf numFmtId="0" fontId="22" fillId="0" borderId="0" xfId="5" applyFont="1" applyBorder="1"/>
    <xf numFmtId="164" fontId="21" fillId="0" borderId="0" xfId="4" applyNumberFormat="1" applyFont="1" applyBorder="1" applyAlignment="1">
      <alignment horizontal="center"/>
    </xf>
    <xf numFmtId="43" fontId="24" fillId="0" borderId="0" xfId="4" applyFont="1" applyBorder="1"/>
    <xf numFmtId="164" fontId="21" fillId="0" borderId="0" xfId="4" applyNumberFormat="1" applyFont="1" applyBorder="1" applyAlignment="1"/>
    <xf numFmtId="164" fontId="21" fillId="0" borderId="14" xfId="4" applyNumberFormat="1" applyFont="1" applyBorder="1" applyAlignment="1"/>
    <xf numFmtId="164" fontId="25" fillId="0" borderId="0" xfId="4" applyNumberFormat="1" applyFont="1" applyBorder="1" applyAlignment="1"/>
    <xf numFmtId="43" fontId="22" fillId="0" borderId="0" xfId="4" applyFont="1" applyBorder="1" applyAlignment="1">
      <alignment horizontal="left"/>
    </xf>
    <xf numFmtId="164" fontId="21" fillId="0" borderId="14" xfId="4" applyNumberFormat="1" applyFont="1" applyBorder="1" applyAlignment="1">
      <alignment horizontal="center"/>
    </xf>
    <xf numFmtId="164" fontId="25" fillId="0" borderId="0" xfId="4" applyNumberFormat="1" applyFont="1" applyBorder="1"/>
    <xf numFmtId="168" fontId="22" fillId="0" borderId="0" xfId="6" applyNumberFormat="1" applyFont="1" applyBorder="1"/>
    <xf numFmtId="4" fontId="26" fillId="0" borderId="0" xfId="2" applyNumberFormat="1" applyFont="1" applyBorder="1"/>
    <xf numFmtId="4" fontId="22" fillId="0" borderId="0" xfId="4" applyNumberFormat="1" applyFont="1" applyBorder="1"/>
    <xf numFmtId="164" fontId="21" fillId="0" borderId="14" xfId="4" applyNumberFormat="1" applyFont="1" applyBorder="1"/>
    <xf numFmtId="43" fontId="27" fillId="0" borderId="0" xfId="4" applyFont="1" applyBorder="1"/>
    <xf numFmtId="164" fontId="28" fillId="0" borderId="0" xfId="4" applyNumberFormat="1" applyFont="1" applyBorder="1"/>
    <xf numFmtId="9" fontId="22" fillId="0" borderId="0" xfId="6" applyFont="1" applyBorder="1" applyAlignment="1">
      <alignment horizontal="right"/>
    </xf>
    <xf numFmtId="0" fontId="22" fillId="0" borderId="0" xfId="4" applyNumberFormat="1" applyFont="1" applyBorder="1"/>
    <xf numFmtId="43" fontId="24" fillId="9" borderId="14" xfId="4" applyFont="1" applyFill="1" applyBorder="1"/>
    <xf numFmtId="43" fontId="24" fillId="0" borderId="14" xfId="4" applyFont="1" applyBorder="1"/>
    <xf numFmtId="43" fontId="22" fillId="0" borderId="14" xfId="4" applyFont="1" applyBorder="1"/>
    <xf numFmtId="164" fontId="21" fillId="0" borderId="0" xfId="4" applyNumberFormat="1" applyFont="1" applyBorder="1" applyAlignment="1">
      <alignment horizontal="left"/>
    </xf>
    <xf numFmtId="43" fontId="22" fillId="0" borderId="0" xfId="4" applyFont="1" applyBorder="1" applyAlignment="1">
      <alignment horizontal="right"/>
    </xf>
    <xf numFmtId="15" fontId="22" fillId="0" borderId="0" xfId="4" applyNumberFormat="1" applyFont="1" applyBorder="1" applyAlignment="1">
      <alignment horizontal="left"/>
    </xf>
    <xf numFmtId="164" fontId="21" fillId="0" borderId="2" xfId="4" applyNumberFormat="1" applyFont="1" applyBorder="1"/>
    <xf numFmtId="43" fontId="24" fillId="9" borderId="0" xfId="4" applyFont="1" applyFill="1" applyBorder="1"/>
    <xf numFmtId="164" fontId="21" fillId="0" borderId="21" xfId="4" applyNumberFormat="1" applyFont="1" applyBorder="1"/>
    <xf numFmtId="164" fontId="21" fillId="0" borderId="5" xfId="4" applyNumberFormat="1" applyFont="1" applyBorder="1"/>
    <xf numFmtId="4" fontId="22" fillId="9" borderId="0" xfId="2" applyNumberFormat="1" applyFont="1" applyFill="1" applyBorder="1"/>
    <xf numFmtId="4" fontId="24" fillId="0" borderId="0" xfId="2" applyNumberFormat="1" applyFont="1" applyBorder="1"/>
    <xf numFmtId="4" fontId="22" fillId="0" borderId="0" xfId="2" applyNumberFormat="1" applyFont="1" applyBorder="1"/>
    <xf numFmtId="164" fontId="25" fillId="0" borderId="0" xfId="2" applyNumberFormat="1" applyFont="1" applyBorder="1"/>
    <xf numFmtId="4" fontId="24" fillId="9" borderId="0" xfId="2" applyNumberFormat="1" applyFont="1" applyFill="1" applyBorder="1"/>
    <xf numFmtId="164" fontId="25" fillId="9" borderId="0" xfId="2" applyNumberFormat="1" applyFont="1" applyFill="1" applyBorder="1"/>
    <xf numFmtId="164" fontId="4" fillId="0" borderId="0" xfId="0" applyNumberFormat="1" applyFont="1"/>
    <xf numFmtId="0" fontId="0" fillId="11" borderId="0" xfId="0" applyFill="1"/>
    <xf numFmtId="0" fontId="29" fillId="0" borderId="0" xfId="0" applyFont="1" applyBorder="1" applyAlignment="1">
      <alignment horizontal="left" vertical="top"/>
    </xf>
    <xf numFmtId="0" fontId="30" fillId="0" borderId="0" xfId="0" applyFont="1"/>
    <xf numFmtId="3" fontId="30" fillId="0" borderId="0" xfId="0" applyNumberFormat="1" applyFont="1"/>
    <xf numFmtId="4" fontId="30" fillId="0" borderId="0" xfId="0" applyNumberFormat="1" applyFont="1"/>
    <xf numFmtId="0" fontId="30" fillId="0" borderId="48" xfId="0" applyFont="1" applyBorder="1" applyAlignment="1">
      <alignment horizontal="left" vertical="top"/>
    </xf>
    <xf numFmtId="0" fontId="31" fillId="0" borderId="49" xfId="0" applyFont="1" applyBorder="1" applyAlignment="1">
      <alignment horizontal="center" vertical="top"/>
    </xf>
    <xf numFmtId="0" fontId="31" fillId="0" borderId="50" xfId="0" applyFont="1" applyBorder="1" applyAlignment="1">
      <alignment horizontal="center"/>
    </xf>
    <xf numFmtId="0" fontId="31" fillId="0" borderId="51" xfId="0" applyFont="1" applyBorder="1" applyAlignment="1">
      <alignment horizontal="center"/>
    </xf>
    <xf numFmtId="3" fontId="31" fillId="0" borderId="50" xfId="0" applyNumberFormat="1" applyFont="1" applyBorder="1" applyAlignment="1">
      <alignment horizontal="center"/>
    </xf>
    <xf numFmtId="4" fontId="31" fillId="0" borderId="52" xfId="0" applyNumberFormat="1" applyFont="1" applyBorder="1" applyAlignment="1">
      <alignment horizontal="center"/>
    </xf>
    <xf numFmtId="4" fontId="31" fillId="0" borderId="53" xfId="0" applyNumberFormat="1" applyFont="1" applyBorder="1" applyAlignment="1">
      <alignment horizontal="center"/>
    </xf>
    <xf numFmtId="0" fontId="31" fillId="0" borderId="54" xfId="0" applyFont="1" applyBorder="1" applyAlignment="1">
      <alignment horizontal="center" vertical="top"/>
    </xf>
    <xf numFmtId="0" fontId="30" fillId="0" borderId="55" xfId="0" applyFont="1" applyBorder="1"/>
    <xf numFmtId="0" fontId="30" fillId="0" borderId="48" xfId="0" applyFont="1" applyBorder="1"/>
    <xf numFmtId="3" fontId="30" fillId="0" borderId="55" xfId="0" applyNumberFormat="1" applyFont="1" applyBorder="1"/>
    <xf numFmtId="4" fontId="30" fillId="0" borderId="56" xfId="0" applyNumberFormat="1" applyFont="1" applyBorder="1"/>
    <xf numFmtId="4" fontId="30" fillId="0" borderId="57" xfId="0" applyNumberFormat="1" applyFont="1" applyBorder="1"/>
    <xf numFmtId="0" fontId="31" fillId="0" borderId="58" xfId="0" applyFont="1" applyBorder="1" applyAlignment="1">
      <alignment horizontal="left" vertical="top"/>
    </xf>
    <xf numFmtId="0" fontId="30" fillId="0" borderId="59" xfId="0" applyFont="1" applyBorder="1"/>
    <xf numFmtId="0" fontId="30" fillId="0" borderId="60" xfId="0" applyFont="1" applyBorder="1"/>
    <xf numFmtId="3" fontId="30" fillId="0" borderId="59" xfId="0" applyNumberFormat="1" applyFont="1" applyBorder="1"/>
    <xf numFmtId="4" fontId="30" fillId="0" borderId="61" xfId="0" applyNumberFormat="1" applyFont="1" applyBorder="1"/>
    <xf numFmtId="4" fontId="30" fillId="0" borderId="62" xfId="0" applyNumberFormat="1" applyFont="1" applyBorder="1"/>
    <xf numFmtId="0" fontId="31" fillId="0" borderId="63" xfId="0" quotePrefix="1" applyFont="1" applyBorder="1" applyAlignment="1">
      <alignment horizontal="left" vertical="top"/>
    </xf>
    <xf numFmtId="0" fontId="29" fillId="0" borderId="5" xfId="0" applyFont="1" applyBorder="1"/>
    <xf numFmtId="0" fontId="30" fillId="0" borderId="14" xfId="0" applyFont="1" applyBorder="1"/>
    <xf numFmtId="3" fontId="30" fillId="0" borderId="5" xfId="0" applyNumberFormat="1" applyFont="1" applyBorder="1"/>
    <xf numFmtId="4" fontId="30" fillId="0" borderId="47" xfId="0" applyNumberFormat="1" applyFont="1" applyBorder="1"/>
    <xf numFmtId="4" fontId="30" fillId="0" borderId="64" xfId="0" applyNumberFormat="1" applyFont="1" applyBorder="1"/>
    <xf numFmtId="0" fontId="30" fillId="0" borderId="65" xfId="0" applyFont="1" applyBorder="1" applyAlignment="1">
      <alignment horizontal="left" vertical="top"/>
    </xf>
    <xf numFmtId="0" fontId="30" fillId="0" borderId="6" xfId="0" applyFont="1" applyBorder="1"/>
    <xf numFmtId="3" fontId="30" fillId="0" borderId="6" xfId="0" applyNumberFormat="1" applyFont="1" applyBorder="1"/>
    <xf numFmtId="4" fontId="30" fillId="0" borderId="66" xfId="0" applyNumberFormat="1" applyFont="1" applyBorder="1"/>
    <xf numFmtId="4" fontId="30" fillId="0" borderId="67" xfId="0" applyNumberFormat="1" applyFont="1" applyBorder="1"/>
    <xf numFmtId="0" fontId="30" fillId="0" borderId="65" xfId="0" quotePrefix="1" applyFont="1" applyBorder="1" applyAlignment="1">
      <alignment horizontal="left" vertical="top"/>
    </xf>
    <xf numFmtId="2" fontId="30" fillId="0" borderId="65" xfId="0" quotePrefix="1" applyNumberFormat="1" applyFont="1" applyBorder="1" applyAlignment="1">
      <alignment horizontal="left" vertical="top"/>
    </xf>
    <xf numFmtId="0" fontId="31" fillId="0" borderId="65" xfId="0" quotePrefix="1" applyFont="1" applyBorder="1" applyAlignment="1">
      <alignment horizontal="left" vertical="top"/>
    </xf>
    <xf numFmtId="0" fontId="29" fillId="0" borderId="6" xfId="0" applyFont="1" applyBorder="1"/>
    <xf numFmtId="165" fontId="30" fillId="0" borderId="65" xfId="0" quotePrefix="1" applyNumberFormat="1" applyFont="1" applyBorder="1" applyAlignment="1">
      <alignment horizontal="left" vertical="top"/>
    </xf>
    <xf numFmtId="165" fontId="30" fillId="0" borderId="65" xfId="0" applyNumberFormat="1" applyFont="1" applyBorder="1" applyAlignment="1">
      <alignment horizontal="left" vertical="top"/>
    </xf>
    <xf numFmtId="165" fontId="31" fillId="0" borderId="65" xfId="0" applyNumberFormat="1" applyFont="1" applyBorder="1" applyAlignment="1">
      <alignment horizontal="left" vertical="top"/>
    </xf>
    <xf numFmtId="0" fontId="32" fillId="0" borderId="65" xfId="0" applyFont="1" applyBorder="1" applyAlignment="1">
      <alignment horizontal="left" vertical="top"/>
    </xf>
    <xf numFmtId="0" fontId="32" fillId="0" borderId="16" xfId="0" applyFont="1" applyBorder="1"/>
    <xf numFmtId="0" fontId="32" fillId="0" borderId="6" xfId="0" applyFont="1" applyBorder="1" applyAlignment="1">
      <alignment horizontal="center"/>
    </xf>
    <xf numFmtId="1" fontId="30" fillId="0" borderId="6" xfId="0" applyNumberFormat="1" applyFont="1" applyFill="1" applyBorder="1" applyAlignment="1">
      <alignment horizontal="right"/>
    </xf>
    <xf numFmtId="0" fontId="30" fillId="0" borderId="16" xfId="0" applyFont="1" applyBorder="1"/>
    <xf numFmtId="0" fontId="30" fillId="0" borderId="6" xfId="0" applyFont="1" applyBorder="1" applyAlignment="1">
      <alignment horizontal="center"/>
    </xf>
    <xf numFmtId="0" fontId="30" fillId="0" borderId="16" xfId="0" applyFont="1" applyFill="1" applyBorder="1"/>
    <xf numFmtId="0" fontId="30" fillId="0" borderId="6" xfId="0" applyFont="1" applyFill="1" applyBorder="1"/>
    <xf numFmtId="0" fontId="29" fillId="0" borderId="6" xfId="0" applyFont="1" applyFill="1" applyBorder="1"/>
    <xf numFmtId="0" fontId="30" fillId="0" borderId="68" xfId="0" applyFont="1" applyBorder="1" applyAlignment="1">
      <alignment horizontal="left" vertical="top"/>
    </xf>
    <xf numFmtId="0" fontId="30" fillId="0" borderId="2" xfId="0" applyFont="1" applyFill="1" applyBorder="1"/>
    <xf numFmtId="0" fontId="30" fillId="0" borderId="2" xfId="0" applyFont="1" applyBorder="1"/>
    <xf numFmtId="3" fontId="30" fillId="0" borderId="2" xfId="0" applyNumberFormat="1" applyFont="1" applyBorder="1"/>
    <xf numFmtId="4" fontId="30" fillId="0" borderId="40" xfId="0" applyNumberFormat="1" applyFont="1" applyBorder="1"/>
    <xf numFmtId="4" fontId="30" fillId="0" borderId="69" xfId="0" applyNumberFormat="1" applyFont="1" applyBorder="1"/>
    <xf numFmtId="0" fontId="30" fillId="0" borderId="51" xfId="0" applyFont="1" applyBorder="1" applyAlignment="1">
      <alignment horizontal="left" vertical="top"/>
    </xf>
    <xf numFmtId="0" fontId="30" fillId="0" borderId="51" xfId="0" applyFont="1" applyBorder="1"/>
    <xf numFmtId="3" fontId="30" fillId="0" borderId="51" xfId="0" applyNumberFormat="1" applyFont="1" applyBorder="1"/>
    <xf numFmtId="4" fontId="30" fillId="0" borderId="51" xfId="0" applyNumberFormat="1" applyFont="1" applyBorder="1"/>
    <xf numFmtId="0" fontId="30" fillId="0" borderId="6" xfId="0" applyFont="1" applyBorder="1" applyAlignment="1">
      <alignment wrapText="1"/>
    </xf>
    <xf numFmtId="165" fontId="31" fillId="0" borderId="65" xfId="0" quotePrefix="1" applyNumberFormat="1" applyFont="1" applyBorder="1" applyAlignment="1">
      <alignment horizontal="left" vertical="top"/>
    </xf>
    <xf numFmtId="0" fontId="33" fillId="0" borderId="6" xfId="0" applyFont="1" applyBorder="1"/>
    <xf numFmtId="0" fontId="29" fillId="0" borderId="6" xfId="0" applyFont="1" applyBorder="1" applyAlignment="1">
      <alignment wrapText="1"/>
    </xf>
    <xf numFmtId="0" fontId="30" fillId="0" borderId="6" xfId="0" applyFont="1" applyFill="1" applyBorder="1" applyAlignment="1"/>
    <xf numFmtId="0" fontId="31" fillId="0" borderId="6" xfId="0" applyFont="1" applyBorder="1"/>
    <xf numFmtId="0" fontId="29" fillId="0" borderId="6" xfId="0" applyFont="1" applyBorder="1" applyAlignment="1">
      <alignment horizontal="left"/>
    </xf>
    <xf numFmtId="0" fontId="30" fillId="0" borderId="6" xfId="0" applyFont="1" applyBorder="1" applyAlignment="1">
      <alignment horizontal="left"/>
    </xf>
    <xf numFmtId="3" fontId="30" fillId="0" borderId="6" xfId="0" applyNumberFormat="1" applyFont="1" applyFill="1" applyBorder="1"/>
    <xf numFmtId="0" fontId="34" fillId="0" borderId="6" xfId="0" applyFont="1" applyBorder="1"/>
    <xf numFmtId="0" fontId="34" fillId="0" borderId="2" xfId="0" applyFont="1" applyBorder="1"/>
    <xf numFmtId="0" fontId="30" fillId="0" borderId="70" xfId="0" applyFont="1" applyBorder="1" applyAlignment="1">
      <alignment horizontal="left" vertical="top"/>
    </xf>
    <xf numFmtId="0" fontId="40" fillId="0" borderId="68" xfId="0" applyFont="1" applyBorder="1" applyAlignment="1">
      <alignment horizontal="left" vertical="top"/>
    </xf>
    <xf numFmtId="0" fontId="40" fillId="0" borderId="2" xfId="0" applyFont="1" applyBorder="1"/>
    <xf numFmtId="0" fontId="41" fillId="0" borderId="2" xfId="0" applyFont="1" applyBorder="1"/>
    <xf numFmtId="3" fontId="40" fillId="0" borderId="2" xfId="0" applyNumberFormat="1" applyFont="1" applyBorder="1"/>
    <xf numFmtId="4" fontId="40" fillId="0" borderId="40" xfId="0" applyNumberFormat="1" applyFont="1" applyBorder="1"/>
    <xf numFmtId="0" fontId="42" fillId="0" borderId="68" xfId="0" applyFont="1" applyBorder="1" applyAlignment="1">
      <alignment horizontal="left" vertical="top"/>
    </xf>
    <xf numFmtId="0" fontId="42" fillId="0" borderId="2" xfId="0" applyFont="1" applyBorder="1"/>
    <xf numFmtId="0" fontId="43" fillId="0" borderId="2" xfId="0" applyFont="1" applyBorder="1"/>
    <xf numFmtId="3" fontId="42" fillId="0" borderId="2" xfId="0" applyNumberFormat="1" applyFont="1" applyBorder="1"/>
    <xf numFmtId="4" fontId="42" fillId="0" borderId="40" xfId="0" applyNumberFormat="1" applyFont="1" applyBorder="1"/>
    <xf numFmtId="0" fontId="44" fillId="0" borderId="71" xfId="0" applyFont="1" applyBorder="1" applyAlignment="1">
      <alignment horizontal="left" vertical="top"/>
    </xf>
    <xf numFmtId="0" fontId="44" fillId="0" borderId="72" xfId="0" applyFont="1" applyBorder="1"/>
    <xf numFmtId="3" fontId="44" fillId="0" borderId="72" xfId="0" applyNumberFormat="1" applyFont="1" applyBorder="1"/>
    <xf numFmtId="4" fontId="44" fillId="0" borderId="73" xfId="0" applyNumberFormat="1" applyFont="1" applyBorder="1"/>
    <xf numFmtId="4" fontId="44" fillId="0" borderId="74" xfId="0" applyNumberFormat="1" applyFont="1" applyBorder="1"/>
    <xf numFmtId="4" fontId="40" fillId="0" borderId="75" xfId="0" applyNumberFormat="1" applyFont="1" applyBorder="1"/>
    <xf numFmtId="4" fontId="40" fillId="0" borderId="76" xfId="0" applyNumberFormat="1" applyFont="1" applyBorder="1"/>
    <xf numFmtId="4" fontId="42" fillId="0" borderId="75" xfId="0" applyNumberFormat="1" applyFont="1" applyBorder="1"/>
    <xf numFmtId="4" fontId="42" fillId="0" borderId="74" xfId="0" applyNumberFormat="1" applyFont="1" applyBorder="1"/>
    <xf numFmtId="0" fontId="4" fillId="0" borderId="6" xfId="0" applyFont="1" applyBorder="1"/>
    <xf numFmtId="0" fontId="30" fillId="0" borderId="77" xfId="0" quotePrefix="1" applyNumberFormat="1" applyFont="1" applyBorder="1" applyAlignment="1">
      <alignment horizontal="left" vertical="top"/>
    </xf>
    <xf numFmtId="4" fontId="30" fillId="0" borderId="78" xfId="0" applyNumberFormat="1" applyFont="1" applyBorder="1"/>
    <xf numFmtId="0" fontId="30" fillId="0" borderId="17" xfId="0" applyFont="1" applyBorder="1"/>
    <xf numFmtId="3" fontId="30" fillId="0" borderId="17" xfId="0" applyNumberFormat="1" applyFont="1" applyBorder="1"/>
    <xf numFmtId="4" fontId="30" fillId="0" borderId="75" xfId="0" applyNumberFormat="1" applyFont="1" applyBorder="1"/>
    <xf numFmtId="0" fontId="31" fillId="0" borderId="65" xfId="0" applyFont="1" applyBorder="1" applyAlignment="1">
      <alignment horizontal="left" vertical="top"/>
    </xf>
    <xf numFmtId="0" fontId="31" fillId="0" borderId="16" xfId="0" applyFont="1" applyFill="1" applyBorder="1"/>
    <xf numFmtId="0" fontId="31" fillId="0" borderId="6" xfId="0" applyFont="1" applyFill="1" applyBorder="1"/>
    <xf numFmtId="1" fontId="31" fillId="0" borderId="6" xfId="0" applyNumberFormat="1" applyFont="1" applyFill="1" applyBorder="1" applyAlignment="1">
      <alignment horizontal="right"/>
    </xf>
    <xf numFmtId="4" fontId="31" fillId="0" borderId="66" xfId="0" applyNumberFormat="1" applyFont="1" applyBorder="1"/>
    <xf numFmtId="4" fontId="31" fillId="0" borderId="76" xfId="0" applyNumberFormat="1" applyFont="1" applyBorder="1"/>
    <xf numFmtId="0" fontId="31" fillId="0" borderId="16" xfId="0" applyFont="1" applyBorder="1"/>
    <xf numFmtId="0" fontId="31" fillId="0" borderId="17" xfId="0" applyFont="1" applyBorder="1"/>
    <xf numFmtId="3" fontId="31" fillId="0" borderId="17" xfId="0" applyNumberFormat="1" applyFont="1" applyBorder="1"/>
    <xf numFmtId="4" fontId="31" fillId="0" borderId="78" xfId="0" applyNumberFormat="1" applyFont="1" applyBorder="1"/>
    <xf numFmtId="3" fontId="31" fillId="0" borderId="6" xfId="0" applyNumberFormat="1" applyFont="1" applyBorder="1"/>
    <xf numFmtId="4" fontId="31" fillId="0" borderId="67" xfId="0" applyNumberFormat="1" applyFont="1" applyBorder="1"/>
    <xf numFmtId="0" fontId="31" fillId="0" borderId="6" xfId="0" applyFont="1" applyBorder="1" applyAlignment="1">
      <alignment wrapText="1"/>
    </xf>
    <xf numFmtId="4" fontId="29" fillId="0" borderId="67" xfId="0" applyNumberFormat="1" applyFont="1" applyBorder="1"/>
    <xf numFmtId="4" fontId="31" fillId="0" borderId="75" xfId="0" applyNumberFormat="1" applyFont="1" applyBorder="1"/>
    <xf numFmtId="0" fontId="35" fillId="0" borderId="65" xfId="0" applyFont="1" applyBorder="1" applyAlignment="1">
      <alignment horizontal="left" vertical="top"/>
    </xf>
    <xf numFmtId="4" fontId="31" fillId="0" borderId="69" xfId="0" applyNumberFormat="1" applyFont="1" applyBorder="1"/>
    <xf numFmtId="0" fontId="4" fillId="0" borderId="0" xfId="0" applyFont="1"/>
    <xf numFmtId="169" fontId="0" fillId="0" borderId="0" xfId="0" applyNumberFormat="1"/>
    <xf numFmtId="169" fontId="0" fillId="0" borderId="79" xfId="0" applyNumberFormat="1" applyBorder="1"/>
    <xf numFmtId="0" fontId="4" fillId="0" borderId="0" xfId="0" applyFont="1" applyBorder="1"/>
    <xf numFmtId="0" fontId="0" fillId="0" borderId="48" xfId="0" applyBorder="1"/>
    <xf numFmtId="169" fontId="0" fillId="0" borderId="80" xfId="0" applyNumberFormat="1" applyBorder="1"/>
    <xf numFmtId="0" fontId="3" fillId="0" borderId="81" xfId="0" applyFont="1" applyBorder="1"/>
    <xf numFmtId="169" fontId="3" fillId="0" borderId="82" xfId="0" applyNumberFormat="1" applyFont="1" applyBorder="1"/>
    <xf numFmtId="0" fontId="3" fillId="0" borderId="0" xfId="0" applyFont="1" applyBorder="1"/>
    <xf numFmtId="169" fontId="3" fillId="0" borderId="83" xfId="0" applyNumberFormat="1" applyFont="1" applyBorder="1"/>
    <xf numFmtId="0" fontId="3" fillId="0" borderId="84" xfId="0" applyFont="1" applyBorder="1"/>
    <xf numFmtId="0" fontId="4" fillId="0" borderId="3" xfId="0" applyFont="1" applyBorder="1"/>
    <xf numFmtId="0" fontId="3" fillId="0" borderId="3" xfId="0" applyFont="1" applyBorder="1"/>
    <xf numFmtId="0" fontId="0" fillId="0" borderId="85" xfId="0" applyBorder="1"/>
    <xf numFmtId="0" fontId="3" fillId="0" borderId="86" xfId="0" applyFont="1" applyBorder="1"/>
    <xf numFmtId="0" fontId="0" fillId="0" borderId="87" xfId="0" applyBorder="1"/>
    <xf numFmtId="0" fontId="3" fillId="0" borderId="87" xfId="0" applyFont="1" applyBorder="1"/>
    <xf numFmtId="0" fontId="0" fillId="0" borderId="54" xfId="0" applyBorder="1"/>
    <xf numFmtId="0" fontId="37" fillId="0" borderId="2" xfId="0" applyFont="1" applyBorder="1" applyAlignment="1">
      <alignment horizontal="center" vertical="justify"/>
    </xf>
    <xf numFmtId="0" fontId="37" fillId="0" borderId="0" xfId="0" applyFont="1" applyBorder="1" applyAlignment="1">
      <alignment horizontal="center" vertical="justify"/>
    </xf>
    <xf numFmtId="0" fontId="37" fillId="0" borderId="5" xfId="0" applyFont="1" applyBorder="1" applyAlignment="1">
      <alignment horizontal="center" vertical="justify"/>
    </xf>
    <xf numFmtId="0" fontId="3" fillId="0" borderId="6" xfId="0" applyFont="1" applyBorder="1"/>
    <xf numFmtId="0" fontId="0" fillId="0" borderId="21" xfId="0" applyBorder="1"/>
    <xf numFmtId="0" fontId="0" fillId="0" borderId="2" xfId="0" applyBorder="1"/>
    <xf numFmtId="0" fontId="0" fillId="0" borderId="5" xfId="0" applyFill="1" applyBorder="1"/>
    <xf numFmtId="0" fontId="0" fillId="0" borderId="5" xfId="0" applyBorder="1"/>
    <xf numFmtId="0" fontId="36" fillId="0" borderId="5" xfId="0" applyFont="1" applyBorder="1"/>
    <xf numFmtId="2" fontId="0" fillId="0" borderId="88" xfId="0" applyNumberFormat="1" applyBorder="1"/>
    <xf numFmtId="2" fontId="0" fillId="0" borderId="0" xfId="0" applyNumberFormat="1" applyBorder="1"/>
    <xf numFmtId="0" fontId="0" fillId="3" borderId="6" xfId="0" applyFill="1" applyBorder="1"/>
    <xf numFmtId="0" fontId="0" fillId="5" borderId="6" xfId="0" applyFill="1" applyBorder="1"/>
    <xf numFmtId="0" fontId="36" fillId="5" borderId="6" xfId="0" applyFont="1" applyFill="1" applyBorder="1"/>
    <xf numFmtId="0" fontId="36" fillId="0" borderId="0" xfId="0" applyFont="1"/>
    <xf numFmtId="169" fontId="0" fillId="3" borderId="6" xfId="0" applyNumberFormat="1" applyFill="1" applyBorder="1"/>
    <xf numFmtId="169" fontId="36" fillId="5" borderId="6" xfId="0" applyNumberFormat="1" applyFont="1" applyFill="1" applyBorder="1"/>
    <xf numFmtId="0" fontId="4" fillId="3" borderId="6" xfId="0" applyFont="1" applyFill="1" applyBorder="1"/>
    <xf numFmtId="4" fontId="0" fillId="0" borderId="0" xfId="0" applyNumberFormat="1"/>
    <xf numFmtId="4" fontId="4" fillId="0" borderId="0" xfId="0" applyNumberFormat="1" applyFont="1"/>
    <xf numFmtId="2" fontId="6" fillId="7" borderId="12" xfId="0" applyNumberFormat="1" applyFont="1" applyFill="1" applyBorder="1" applyAlignment="1">
      <alignment horizontal="center"/>
    </xf>
    <xf numFmtId="165" fontId="9" fillId="0" borderId="0" xfId="0" applyNumberFormat="1" applyFont="1"/>
    <xf numFmtId="2" fontId="6" fillId="3" borderId="12" xfId="0" applyNumberFormat="1" applyFont="1" applyFill="1" applyBorder="1" applyAlignment="1">
      <alignment horizontal="center"/>
    </xf>
    <xf numFmtId="2" fontId="6" fillId="3" borderId="10" xfId="0" applyNumberFormat="1" applyFont="1" applyFill="1" applyBorder="1" applyAlignment="1">
      <alignment horizontal="center"/>
    </xf>
    <xf numFmtId="2" fontId="6" fillId="3" borderId="9" xfId="0" applyNumberFormat="1" applyFont="1" applyFill="1" applyBorder="1" applyAlignment="1">
      <alignment horizontal="center"/>
    </xf>
    <xf numFmtId="13" fontId="16" fillId="0" borderId="0" xfId="3" applyNumberFormat="1" applyFont="1"/>
    <xf numFmtId="2" fontId="3" fillId="0" borderId="22" xfId="0" applyNumberFormat="1" applyFont="1" applyBorder="1" applyAlignment="1">
      <alignment horizontal="center"/>
    </xf>
    <xf numFmtId="0" fontId="6" fillId="12" borderId="1" xfId="0" applyFont="1" applyFill="1" applyBorder="1" applyAlignment="1">
      <alignment horizontal="center"/>
    </xf>
    <xf numFmtId="165" fontId="7" fillId="12" borderId="17" xfId="1" applyNumberFormat="1" applyFont="1" applyFill="1" applyBorder="1" applyAlignment="1">
      <alignment horizontal="center"/>
    </xf>
    <xf numFmtId="0" fontId="6" fillId="12" borderId="4" xfId="0" applyFont="1" applyFill="1" applyBorder="1" applyAlignment="1">
      <alignment horizontal="center"/>
    </xf>
    <xf numFmtId="165" fontId="6" fillId="12" borderId="6" xfId="0" applyNumberFormat="1" applyFont="1" applyFill="1" applyBorder="1" applyAlignment="1">
      <alignment horizontal="center"/>
    </xf>
    <xf numFmtId="0" fontId="6" fillId="12" borderId="6" xfId="0" applyFont="1" applyFill="1" applyBorder="1"/>
    <xf numFmtId="165" fontId="7" fillId="12" borderId="14" xfId="1" applyNumberFormat="1" applyFont="1" applyFill="1" applyBorder="1" applyAlignment="1">
      <alignment horizontal="center"/>
    </xf>
    <xf numFmtId="165" fontId="7" fillId="12" borderId="15" xfId="1" applyNumberFormat="1" applyFont="1" applyFill="1" applyBorder="1" applyAlignment="1">
      <alignment horizontal="center"/>
    </xf>
    <xf numFmtId="0" fontId="0" fillId="12" borderId="6" xfId="0" applyFill="1" applyBorder="1"/>
    <xf numFmtId="165" fontId="3" fillId="12" borderId="0" xfId="0" applyNumberFormat="1" applyFont="1" applyFill="1" applyAlignment="1">
      <alignment horizontal="center"/>
    </xf>
    <xf numFmtId="165" fontId="3" fillId="12" borderId="70" xfId="0" applyNumberFormat="1" applyFont="1" applyFill="1" applyBorder="1" applyAlignment="1">
      <alignment horizontal="center"/>
    </xf>
    <xf numFmtId="0" fontId="45" fillId="14" borderId="0" xfId="0" applyFont="1" applyFill="1" applyAlignment="1">
      <alignment vertical="center" wrapText="1"/>
    </xf>
    <xf numFmtId="0" fontId="46" fillId="13" borderId="89" xfId="0" applyFont="1" applyFill="1" applyBorder="1" applyAlignment="1">
      <alignment vertical="center" wrapText="1"/>
    </xf>
    <xf numFmtId="0" fontId="46" fillId="13" borderId="90" xfId="0" applyFont="1" applyFill="1" applyBorder="1" applyAlignment="1">
      <alignment vertical="center" wrapText="1"/>
    </xf>
    <xf numFmtId="0" fontId="46" fillId="13" borderId="90" xfId="0" applyFont="1" applyFill="1" applyBorder="1" applyAlignment="1">
      <alignment horizontal="right" vertical="center" wrapText="1"/>
    </xf>
    <xf numFmtId="0" fontId="46" fillId="13" borderId="91" xfId="0" applyFont="1" applyFill="1" applyBorder="1" applyAlignment="1">
      <alignment vertical="center" wrapText="1"/>
    </xf>
    <xf numFmtId="0" fontId="47" fillId="0" borderId="0" xfId="0" applyFont="1" applyAlignment="1">
      <alignment vertical="center" wrapText="1"/>
    </xf>
    <xf numFmtId="0" fontId="46" fillId="13" borderId="92" xfId="0" applyFont="1" applyFill="1" applyBorder="1" applyAlignment="1">
      <alignment horizontal="right" vertical="center" wrapText="1"/>
    </xf>
    <xf numFmtId="0" fontId="45" fillId="14" borderId="93" xfId="0" applyFont="1" applyFill="1" applyBorder="1" applyAlignment="1">
      <alignment horizontal="center" vertical="center" wrapText="1"/>
    </xf>
    <xf numFmtId="0" fontId="45" fillId="14" borderId="94" xfId="0" applyFont="1" applyFill="1" applyBorder="1" applyAlignment="1">
      <alignment horizontal="right" vertical="center" wrapText="1"/>
    </xf>
    <xf numFmtId="0" fontId="45" fillId="14" borderId="95" xfId="0" applyFont="1" applyFill="1" applyBorder="1" applyAlignment="1">
      <alignment horizontal="left" vertical="center" wrapText="1"/>
    </xf>
    <xf numFmtId="0" fontId="46" fillId="13" borderId="96" xfId="0" applyFont="1" applyFill="1" applyBorder="1" applyAlignment="1">
      <alignment vertical="center" wrapText="1"/>
    </xf>
    <xf numFmtId="0" fontId="46" fillId="13" borderId="97" xfId="0" applyFont="1" applyFill="1" applyBorder="1" applyAlignment="1">
      <alignment vertical="center" wrapText="1"/>
    </xf>
    <xf numFmtId="0" fontId="46" fillId="13" borderId="98" xfId="0" applyFont="1" applyFill="1" applyBorder="1" applyAlignment="1">
      <alignment vertical="center" wrapText="1"/>
    </xf>
    <xf numFmtId="0" fontId="46" fillId="13" borderId="99" xfId="0" applyFont="1" applyFill="1" applyBorder="1" applyAlignment="1">
      <alignment horizontal="right" vertical="center" wrapText="1"/>
    </xf>
    <xf numFmtId="0" fontId="46" fillId="13" borderId="100" xfId="0" applyFont="1" applyFill="1" applyBorder="1" applyAlignment="1">
      <alignment vertical="center" wrapText="1"/>
    </xf>
    <xf numFmtId="0" fontId="48" fillId="0" borderId="0" xfId="0" applyFont="1"/>
    <xf numFmtId="0" fontId="49" fillId="0" borderId="0" xfId="0" applyFont="1" applyAlignment="1">
      <alignment vertical="center" wrapText="1"/>
    </xf>
    <xf numFmtId="0" fontId="47" fillId="0" borderId="0" xfId="0" applyFont="1" applyAlignment="1">
      <alignment vertical="center"/>
    </xf>
    <xf numFmtId="0" fontId="45" fillId="14" borderId="101" xfId="0" applyFont="1" applyFill="1" applyBorder="1" applyAlignment="1">
      <alignment vertical="center" wrapText="1"/>
    </xf>
    <xf numFmtId="0" fontId="46" fillId="0" borderId="102" xfId="0" applyFont="1" applyBorder="1" applyAlignment="1">
      <alignment vertical="center" wrapText="1"/>
    </xf>
    <xf numFmtId="0" fontId="46" fillId="0" borderId="103" xfId="0" applyFont="1" applyBorder="1" applyAlignment="1">
      <alignment vertical="center" wrapText="1"/>
    </xf>
    <xf numFmtId="0" fontId="46" fillId="0" borderId="103" xfId="0" applyFont="1" applyBorder="1" applyAlignment="1">
      <alignment horizontal="right" vertical="center" wrapText="1"/>
    </xf>
    <xf numFmtId="0" fontId="46" fillId="0" borderId="104" xfId="0" applyFont="1" applyBorder="1" applyAlignment="1">
      <alignment vertical="center" wrapText="1"/>
    </xf>
    <xf numFmtId="0" fontId="49" fillId="0" borderId="0" xfId="0" applyFont="1" applyAlignment="1">
      <alignment vertical="center"/>
    </xf>
    <xf numFmtId="0" fontId="4" fillId="0" borderId="0" xfId="0" applyFont="1" applyAlignment="1">
      <alignment vertical="center"/>
    </xf>
    <xf numFmtId="0" fontId="50" fillId="0" borderId="0" xfId="0" applyFont="1" applyAlignment="1">
      <alignment vertical="center"/>
    </xf>
    <xf numFmtId="0" fontId="46" fillId="15" borderId="102" xfId="0" applyFont="1" applyFill="1" applyBorder="1" applyAlignment="1">
      <alignment horizontal="left" vertical="center" wrapText="1"/>
    </xf>
    <xf numFmtId="0" fontId="46" fillId="15" borderId="103" xfId="0" applyFont="1" applyFill="1" applyBorder="1" applyAlignment="1">
      <alignment horizontal="left" vertical="center" wrapText="1"/>
    </xf>
    <xf numFmtId="0" fontId="46" fillId="15" borderId="103" xfId="0" applyFont="1" applyFill="1" applyBorder="1" applyAlignment="1">
      <alignment horizontal="right" vertical="center" wrapText="1"/>
    </xf>
    <xf numFmtId="0" fontId="46" fillId="15" borderId="102" xfId="0" applyFont="1" applyFill="1" applyBorder="1" applyAlignment="1">
      <alignment vertical="center" wrapText="1"/>
    </xf>
    <xf numFmtId="0" fontId="46" fillId="15" borderId="103" xfId="0" applyFont="1" applyFill="1" applyBorder="1" applyAlignment="1">
      <alignment vertical="center" wrapText="1"/>
    </xf>
    <xf numFmtId="0" fontId="45" fillId="14" borderId="105" xfId="0" applyFont="1" applyFill="1" applyBorder="1" applyAlignment="1">
      <alignment vertical="center" wrapText="1"/>
    </xf>
    <xf numFmtId="0" fontId="46" fillId="0" borderId="106" xfId="0" applyFont="1" applyBorder="1" applyAlignment="1">
      <alignment vertical="center" wrapText="1"/>
    </xf>
    <xf numFmtId="0" fontId="45" fillId="14" borderId="93" xfId="0" applyFont="1" applyFill="1" applyBorder="1" applyAlignment="1">
      <alignment vertical="center" wrapText="1"/>
    </xf>
    <xf numFmtId="0" fontId="45" fillId="14" borderId="107" xfId="0" applyFont="1" applyFill="1" applyBorder="1" applyAlignment="1">
      <alignment vertical="center" wrapText="1"/>
    </xf>
    <xf numFmtId="0" fontId="45" fillId="14" borderId="108" xfId="0" applyFont="1" applyFill="1" applyBorder="1" applyAlignment="1">
      <alignment vertical="center" wrapText="1"/>
    </xf>
    <xf numFmtId="0" fontId="46" fillId="0" borderId="109" xfId="0" applyFont="1" applyBorder="1" applyAlignment="1">
      <alignment vertical="center" wrapText="1"/>
    </xf>
    <xf numFmtId="0" fontId="46" fillId="0" borderId="110" xfId="0" applyFont="1" applyBorder="1" applyAlignment="1">
      <alignment vertical="center" wrapText="1"/>
    </xf>
    <xf numFmtId="0" fontId="46" fillId="15" borderId="111" xfId="0" applyFont="1" applyFill="1" applyBorder="1" applyAlignment="1">
      <alignment horizontal="left" vertical="center" wrapText="1"/>
    </xf>
    <xf numFmtId="0" fontId="46" fillId="15" borderId="112" xfId="0" applyFont="1" applyFill="1" applyBorder="1" applyAlignment="1">
      <alignment horizontal="left" vertical="center" wrapText="1"/>
    </xf>
    <xf numFmtId="0" fontId="0" fillId="0" borderId="113" xfId="0" applyBorder="1"/>
    <xf numFmtId="0" fontId="52" fillId="0" borderId="0" xfId="0" applyFont="1" applyAlignment="1">
      <alignment vertical="center"/>
    </xf>
    <xf numFmtId="0" fontId="53" fillId="0" borderId="0" xfId="0" applyFont="1"/>
    <xf numFmtId="0" fontId="46" fillId="0" borderId="104" xfId="0" applyFont="1" applyBorder="1" applyAlignment="1">
      <alignment horizontal="right" vertical="center" wrapText="1"/>
    </xf>
    <xf numFmtId="0" fontId="45" fillId="14" borderId="107" xfId="0" applyFont="1" applyFill="1" applyBorder="1" applyAlignment="1">
      <alignment horizontal="right" vertical="center" wrapText="1"/>
    </xf>
    <xf numFmtId="0" fontId="45" fillId="14" borderId="108" xfId="0" applyFont="1" applyFill="1" applyBorder="1" applyAlignment="1">
      <alignment horizontal="left" vertical="center" wrapText="1"/>
    </xf>
    <xf numFmtId="0" fontId="46" fillId="0" borderId="111" xfId="0" applyFont="1" applyBorder="1" applyAlignment="1">
      <alignment vertical="center" wrapText="1"/>
    </xf>
    <xf numFmtId="0" fontId="46" fillId="0" borderId="112" xfId="0" applyFont="1" applyBorder="1" applyAlignment="1">
      <alignment horizontal="right" vertical="center" wrapText="1"/>
    </xf>
    <xf numFmtId="0" fontId="46" fillId="0" borderId="114" xfId="0" applyFont="1" applyBorder="1" applyAlignment="1">
      <alignment vertical="center" wrapText="1"/>
    </xf>
    <xf numFmtId="0" fontId="46" fillId="0" borderId="112" xfId="0" applyFont="1" applyBorder="1" applyAlignment="1">
      <alignment vertical="center" wrapText="1"/>
    </xf>
    <xf numFmtId="0" fontId="51" fillId="0" borderId="0" xfId="7" applyAlignment="1">
      <alignment vertical="center"/>
    </xf>
    <xf numFmtId="0" fontId="54" fillId="0" borderId="0" xfId="0" applyFont="1"/>
    <xf numFmtId="0" fontId="55" fillId="0" borderId="0" xfId="0" applyFont="1" applyAlignment="1">
      <alignment vertical="center"/>
    </xf>
    <xf numFmtId="0" fontId="46" fillId="0" borderId="89" xfId="0" applyFont="1" applyBorder="1" applyAlignment="1">
      <alignment vertical="center" wrapText="1"/>
    </xf>
    <xf numFmtId="0" fontId="46" fillId="0" borderId="90" xfId="0" applyFont="1" applyBorder="1" applyAlignment="1">
      <alignment vertical="center" wrapText="1"/>
    </xf>
    <xf numFmtId="0" fontId="46" fillId="0" borderId="91" xfId="0" applyFont="1" applyBorder="1" applyAlignment="1">
      <alignment vertical="center" wrapText="1"/>
    </xf>
    <xf numFmtId="0" fontId="46" fillId="0" borderId="90" xfId="0" applyFont="1" applyBorder="1" applyAlignment="1">
      <alignment horizontal="right" vertical="center" wrapText="1"/>
    </xf>
    <xf numFmtId="0" fontId="56" fillId="0" borderId="0" xfId="0" applyFont="1" applyAlignment="1">
      <alignment vertical="center" wrapText="1"/>
    </xf>
    <xf numFmtId="0" fontId="0" fillId="15" borderId="0" xfId="0" applyFill="1"/>
    <xf numFmtId="0" fontId="46" fillId="15" borderId="104" xfId="0" applyFont="1" applyFill="1" applyBorder="1" applyAlignment="1">
      <alignment horizontal="right" vertical="center" wrapText="1"/>
    </xf>
    <xf numFmtId="0" fontId="46" fillId="15" borderId="104" xfId="0" applyFont="1" applyFill="1" applyBorder="1" applyAlignment="1">
      <alignment vertical="center" wrapText="1"/>
    </xf>
    <xf numFmtId="0" fontId="46" fillId="15" borderId="109" xfId="0" applyFont="1" applyFill="1" applyBorder="1" applyAlignment="1">
      <alignment vertical="center" wrapText="1"/>
    </xf>
    <xf numFmtId="0" fontId="46" fillId="15" borderId="110" xfId="0" applyFont="1" applyFill="1" applyBorder="1" applyAlignment="1">
      <alignment vertical="center" wrapText="1"/>
    </xf>
    <xf numFmtId="0" fontId="46" fillId="15" borderId="111" xfId="0" applyFont="1" applyFill="1" applyBorder="1" applyAlignment="1">
      <alignment vertical="center" wrapText="1"/>
    </xf>
    <xf numFmtId="0" fontId="46" fillId="15" borderId="112" xfId="0" applyFont="1" applyFill="1" applyBorder="1" applyAlignment="1">
      <alignment horizontal="right" vertical="center" wrapText="1"/>
    </xf>
    <xf numFmtId="0" fontId="46" fillId="15" borderId="114" xfId="0" applyFont="1" applyFill="1" applyBorder="1" applyAlignment="1">
      <alignment vertical="center" wrapText="1"/>
    </xf>
    <xf numFmtId="0" fontId="57" fillId="0" borderId="0" xfId="0" applyFont="1" applyAlignment="1">
      <alignment horizontal="left" vertical="center" wrapText="1"/>
    </xf>
    <xf numFmtId="0" fontId="51" fillId="0" borderId="0" xfId="7" applyAlignment="1">
      <alignment vertical="center" wrapText="1"/>
    </xf>
    <xf numFmtId="0" fontId="46" fillId="13" borderId="104" xfId="0" applyFont="1" applyFill="1" applyBorder="1" applyAlignment="1">
      <alignment horizontal="right" vertical="center" wrapText="1"/>
    </xf>
    <xf numFmtId="0" fontId="46" fillId="13" borderId="109" xfId="0" applyFont="1" applyFill="1" applyBorder="1" applyAlignment="1">
      <alignment vertical="center" wrapText="1"/>
    </xf>
    <xf numFmtId="0" fontId="46" fillId="13" borderId="110" xfId="0" applyFont="1" applyFill="1" applyBorder="1" applyAlignment="1">
      <alignment vertical="center" wrapText="1"/>
    </xf>
    <xf numFmtId="0" fontId="46" fillId="13" borderId="111" xfId="0" applyFont="1" applyFill="1" applyBorder="1" applyAlignment="1">
      <alignment vertical="center" wrapText="1"/>
    </xf>
    <xf numFmtId="0" fontId="46" fillId="13" borderId="112" xfId="0" applyFont="1" applyFill="1" applyBorder="1" applyAlignment="1">
      <alignment horizontal="right" vertical="center" wrapText="1"/>
    </xf>
    <xf numFmtId="0" fontId="46" fillId="13" borderId="114" xfId="0" applyFont="1" applyFill="1" applyBorder="1" applyAlignment="1">
      <alignment vertical="center" wrapText="1"/>
    </xf>
    <xf numFmtId="0" fontId="46" fillId="15" borderId="89" xfId="0" applyFont="1" applyFill="1" applyBorder="1" applyAlignment="1">
      <alignment vertical="center" wrapText="1"/>
    </xf>
    <xf numFmtId="0" fontId="46" fillId="15" borderId="90" xfId="0" applyFont="1" applyFill="1" applyBorder="1" applyAlignment="1">
      <alignment vertical="center" wrapText="1"/>
    </xf>
    <xf numFmtId="0" fontId="46" fillId="15" borderId="90" xfId="0" applyFont="1" applyFill="1" applyBorder="1" applyAlignment="1">
      <alignment horizontal="right" vertical="center" wrapText="1"/>
    </xf>
    <xf numFmtId="0" fontId="46" fillId="15" borderId="91" xfId="0" applyFont="1" applyFill="1" applyBorder="1" applyAlignment="1">
      <alignment vertical="center" wrapText="1"/>
    </xf>
    <xf numFmtId="0" fontId="58" fillId="13" borderId="0" xfId="0" applyFont="1" applyFill="1" applyBorder="1" applyAlignment="1">
      <alignment vertical="center" wrapText="1"/>
    </xf>
    <xf numFmtId="0" fontId="46" fillId="0" borderId="115" xfId="0" applyFont="1" applyBorder="1" applyAlignment="1">
      <alignment horizontal="left" vertical="center" wrapText="1" indent="1"/>
    </xf>
    <xf numFmtId="0" fontId="46" fillId="0" borderId="116" xfId="0" applyFont="1" applyBorder="1" applyAlignment="1">
      <alignment horizontal="left" vertical="center" wrapText="1" indent="1"/>
    </xf>
    <xf numFmtId="0" fontId="59" fillId="0" borderId="0" xfId="0" applyFont="1" applyAlignment="1">
      <alignment vertical="center" wrapText="1"/>
    </xf>
    <xf numFmtId="0" fontId="0" fillId="0" borderId="0" xfId="0" applyAlignment="1">
      <alignment vertical="center" wrapText="1"/>
    </xf>
    <xf numFmtId="0" fontId="60" fillId="0" borderId="0" xfId="0" applyFont="1" applyAlignment="1">
      <alignment vertical="center" wrapText="1"/>
    </xf>
    <xf numFmtId="0" fontId="0" fillId="15" borderId="0" xfId="0" applyFill="1" applyAlignment="1">
      <alignment vertical="center" wrapText="1"/>
    </xf>
    <xf numFmtId="0" fontId="61" fillId="0" borderId="0" xfId="0" applyFont="1" applyAlignment="1">
      <alignment horizontal="left" vertical="center" wrapText="1" indent="1"/>
    </xf>
    <xf numFmtId="0" fontId="1" fillId="0" borderId="123" xfId="0" applyFont="1" applyBorder="1" applyAlignment="1">
      <alignment vertical="center" wrapText="1"/>
    </xf>
    <xf numFmtId="165" fontId="6" fillId="12" borderId="6" xfId="0" applyNumberFormat="1" applyFont="1" applyFill="1" applyBorder="1" applyAlignment="1">
      <alignment horizontal="center"/>
    </xf>
    <xf numFmtId="0" fontId="3" fillId="0" borderId="0" xfId="0" applyFont="1" applyAlignment="1">
      <alignment horizontal="justify" vertical="justify"/>
    </xf>
    <xf numFmtId="0" fontId="0" fillId="0" borderId="0" xfId="0" applyAlignment="1">
      <alignment horizontal="justify" vertical="justify"/>
    </xf>
    <xf numFmtId="0" fontId="37" fillId="0" borderId="2" xfId="0" applyFont="1" applyBorder="1" applyAlignment="1">
      <alignment horizontal="center" vertical="justify"/>
    </xf>
    <xf numFmtId="0" fontId="37" fillId="0" borderId="5" xfId="0" applyFont="1" applyBorder="1" applyAlignment="1">
      <alignment horizontal="center" vertical="justify"/>
    </xf>
    <xf numFmtId="0" fontId="49" fillId="0" borderId="0" xfId="0" applyFont="1" applyAlignment="1">
      <alignment vertical="center" wrapText="1"/>
    </xf>
    <xf numFmtId="0" fontId="47" fillId="0" borderId="0" xfId="0" applyFont="1" applyAlignment="1">
      <alignment vertical="center" wrapText="1"/>
    </xf>
    <xf numFmtId="0" fontId="47" fillId="0" borderId="124" xfId="0" applyFont="1" applyBorder="1" applyAlignment="1">
      <alignment vertical="center" wrapText="1"/>
    </xf>
    <xf numFmtId="0" fontId="46" fillId="0" borderId="119" xfId="0" applyFont="1" applyBorder="1" applyAlignment="1">
      <alignment vertical="center" wrapText="1"/>
    </xf>
    <xf numFmtId="0" fontId="46" fillId="0" borderId="120" xfId="0" applyFont="1" applyBorder="1" applyAlignment="1">
      <alignment vertical="center" wrapText="1"/>
    </xf>
    <xf numFmtId="0" fontId="46" fillId="0" borderId="121" xfId="0" applyFont="1" applyBorder="1" applyAlignment="1">
      <alignment vertical="center" wrapText="1"/>
    </xf>
    <xf numFmtId="0" fontId="46" fillId="0" borderId="122" xfId="0" applyFont="1" applyBorder="1" applyAlignment="1">
      <alignment vertical="center" wrapText="1"/>
    </xf>
    <xf numFmtId="0" fontId="46" fillId="0" borderId="117" xfId="0" applyFont="1" applyBorder="1" applyAlignment="1">
      <alignment vertical="center" wrapText="1"/>
    </xf>
    <xf numFmtId="0" fontId="46" fillId="0" borderId="118" xfId="0" applyFont="1" applyBorder="1" applyAlignment="1">
      <alignment vertical="center" wrapText="1"/>
    </xf>
  </cellXfs>
  <cellStyles count="8">
    <cellStyle name="Comma" xfId="1" builtinId="3"/>
    <cellStyle name="Comma_281 SubCert - Hogarths" xfId="2" xr:uid="{00000000-0005-0000-0000-000001000000}"/>
    <cellStyle name="Comma_ESTIMATION CONSTANTS" xfId="3" xr:uid="{00000000-0005-0000-0000-000002000000}"/>
    <cellStyle name="Comma_Sub-contract payment Certificates" xfId="4" xr:uid="{00000000-0005-0000-0000-000003000000}"/>
    <cellStyle name="Hyperlink" xfId="7" builtinId="8"/>
    <cellStyle name="Normal" xfId="0" builtinId="0"/>
    <cellStyle name="Normal_281 SubCert - Hogarths" xfId="5" xr:uid="{00000000-0005-0000-0000-00000600000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theme" Target="theme/theme1.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gif" /><Relationship Id="rId2" Type="http://schemas.openxmlformats.org/officeDocument/2006/relationships/image" Target="../media/image2.png" /><Relationship Id="rId1" Type="http://schemas.openxmlformats.org/officeDocument/2006/relationships/image" Target="../media/image1.gif" /><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0</xdr:col>
      <xdr:colOff>2371725</xdr:colOff>
      <xdr:row>15</xdr:row>
      <xdr:rowOff>104775</xdr:rowOff>
    </xdr:to>
    <xdr:pic>
      <xdr:nvPicPr>
        <xdr:cNvPr id="2" name="Picture 1" descr="t0579e00">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348150"/>
          <a:ext cx="23717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2</xdr:col>
      <xdr:colOff>1095375</xdr:colOff>
      <xdr:row>45</xdr:row>
      <xdr:rowOff>76200</xdr:rowOff>
    </xdr:to>
    <xdr:pic>
      <xdr:nvPicPr>
        <xdr:cNvPr id="3" name="Picture 2" descr="t0579e0w">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817250"/>
          <a:ext cx="5657850"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1228725</xdr:colOff>
      <xdr:row>48</xdr:row>
      <xdr:rowOff>76200</xdr:rowOff>
    </xdr:to>
    <xdr:pic>
      <xdr:nvPicPr>
        <xdr:cNvPr id="4" name="Picture 3" descr="t0579e01">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0608825"/>
          <a:ext cx="12287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1</xdr:col>
      <xdr:colOff>1524000</xdr:colOff>
      <xdr:row>98</xdr:row>
      <xdr:rowOff>0</xdr:rowOff>
    </xdr:to>
    <xdr:pic>
      <xdr:nvPicPr>
        <xdr:cNvPr id="5" name="Picture 4" descr="t0579e0x">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07880150"/>
          <a:ext cx="4143375"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5"/>
  <sheetViews>
    <sheetView view="pageBreakPreview" topLeftCell="A76" zoomScale="91" zoomScaleNormal="100" zoomScaleSheetLayoutView="91" workbookViewId="0">
      <selection activeCell="A220" sqref="A220"/>
    </sheetView>
  </sheetViews>
  <sheetFormatPr defaultRowHeight="13.5" x14ac:dyDescent="0.15"/>
  <cols>
    <col min="1" max="1" width="9.16796875" style="168" customWidth="1"/>
    <col min="2" max="2" width="10.11328125" style="168" customWidth="1"/>
    <col min="3" max="7" width="9.16796875" style="168" customWidth="1"/>
    <col min="8" max="8" width="17.125" style="168" customWidth="1"/>
    <col min="9" max="9" width="15.640625" style="170" bestFit="1" customWidth="1"/>
  </cols>
  <sheetData>
    <row r="1" spans="1:8" x14ac:dyDescent="0.15">
      <c r="C1" s="169"/>
      <c r="D1" s="169" t="s">
        <v>152</v>
      </c>
    </row>
    <row r="3" spans="1:8" x14ac:dyDescent="0.15">
      <c r="A3" s="171"/>
      <c r="D3" s="171" t="s">
        <v>153</v>
      </c>
    </row>
    <row r="4" spans="1:8" x14ac:dyDescent="0.15">
      <c r="A4" s="172" t="s">
        <v>154</v>
      </c>
    </row>
    <row r="6" spans="1:8" x14ac:dyDescent="0.15">
      <c r="A6" s="168" t="s">
        <v>155</v>
      </c>
      <c r="F6" s="168" t="s">
        <v>156</v>
      </c>
      <c r="H6" s="168" t="s">
        <v>157</v>
      </c>
    </row>
    <row r="8" spans="1:8" x14ac:dyDescent="0.15">
      <c r="A8" s="172" t="s">
        <v>158</v>
      </c>
    </row>
    <row r="10" spans="1:8" x14ac:dyDescent="0.15">
      <c r="A10" s="168" t="s">
        <v>159</v>
      </c>
    </row>
    <row r="11" spans="1:8" x14ac:dyDescent="0.15">
      <c r="A11" s="168" t="s">
        <v>160</v>
      </c>
      <c r="F11" s="168" t="s">
        <v>156</v>
      </c>
      <c r="H11" s="168" t="s">
        <v>161</v>
      </c>
    </row>
    <row r="12" spans="1:8" x14ac:dyDescent="0.15">
      <c r="A12" s="168" t="s">
        <v>162</v>
      </c>
      <c r="F12" s="168" t="s">
        <v>156</v>
      </c>
      <c r="H12" s="168" t="s">
        <v>163</v>
      </c>
    </row>
    <row r="13" spans="1:8" x14ac:dyDescent="0.15">
      <c r="A13" s="168" t="s">
        <v>164</v>
      </c>
      <c r="F13" s="168" t="s">
        <v>156</v>
      </c>
      <c r="H13" s="168" t="s">
        <v>165</v>
      </c>
    </row>
    <row r="15" spans="1:8" x14ac:dyDescent="0.15">
      <c r="A15" s="168" t="s">
        <v>166</v>
      </c>
      <c r="F15" s="168" t="s">
        <v>156</v>
      </c>
      <c r="H15" s="168" t="s">
        <v>167</v>
      </c>
    </row>
    <row r="16" spans="1:8" x14ac:dyDescent="0.15">
      <c r="A16" s="168" t="s">
        <v>162</v>
      </c>
      <c r="F16" s="168" t="s">
        <v>156</v>
      </c>
      <c r="H16" s="168" t="s">
        <v>168</v>
      </c>
    </row>
    <row r="17" spans="1:8" x14ac:dyDescent="0.15">
      <c r="A17" s="168" t="s">
        <v>164</v>
      </c>
      <c r="F17" s="168" t="s">
        <v>156</v>
      </c>
      <c r="H17" s="168" t="s">
        <v>169</v>
      </c>
    </row>
    <row r="19" spans="1:8" x14ac:dyDescent="0.15">
      <c r="A19" s="168" t="s">
        <v>170</v>
      </c>
      <c r="F19" s="168" t="s">
        <v>156</v>
      </c>
      <c r="H19" s="168" t="s">
        <v>171</v>
      </c>
    </row>
    <row r="21" spans="1:8" x14ac:dyDescent="0.15">
      <c r="A21" s="168" t="s">
        <v>172</v>
      </c>
    </row>
    <row r="22" spans="1:8" x14ac:dyDescent="0.15">
      <c r="A22" s="168" t="s">
        <v>173</v>
      </c>
      <c r="F22" s="168" t="s">
        <v>156</v>
      </c>
      <c r="H22" s="170">
        <f>1/250%</f>
        <v>0.4</v>
      </c>
    </row>
    <row r="24" spans="1:8" x14ac:dyDescent="0.15">
      <c r="A24" s="168" t="s">
        <v>174</v>
      </c>
    </row>
    <row r="25" spans="1:8" x14ac:dyDescent="0.15">
      <c r="A25" s="168" t="s">
        <v>175</v>
      </c>
      <c r="F25" s="168" t="s">
        <v>156</v>
      </c>
    </row>
    <row r="27" spans="1:8" x14ac:dyDescent="0.15">
      <c r="A27" s="172" t="s">
        <v>176</v>
      </c>
    </row>
    <row r="28" spans="1:8" x14ac:dyDescent="0.15">
      <c r="A28" s="168" t="s">
        <v>177</v>
      </c>
    </row>
    <row r="29" spans="1:8" x14ac:dyDescent="0.15">
      <c r="A29" s="168" t="s">
        <v>178</v>
      </c>
      <c r="F29" s="168" t="s">
        <v>156</v>
      </c>
      <c r="H29" s="168" t="s">
        <v>179</v>
      </c>
    </row>
    <row r="30" spans="1:8" x14ac:dyDescent="0.15">
      <c r="A30" s="168" t="s">
        <v>180</v>
      </c>
      <c r="F30" s="168" t="s">
        <v>156</v>
      </c>
      <c r="H30" s="168" t="s">
        <v>181</v>
      </c>
    </row>
    <row r="31" spans="1:8" x14ac:dyDescent="0.15">
      <c r="A31" s="168" t="s">
        <v>182</v>
      </c>
      <c r="F31" s="168" t="s">
        <v>156</v>
      </c>
      <c r="H31" s="168" t="s">
        <v>183</v>
      </c>
    </row>
    <row r="32" spans="1:8" x14ac:dyDescent="0.15">
      <c r="A32" s="168" t="s">
        <v>184</v>
      </c>
      <c r="F32" s="168" t="s">
        <v>156</v>
      </c>
      <c r="H32" s="168" t="s">
        <v>185</v>
      </c>
    </row>
    <row r="33" spans="1:8" x14ac:dyDescent="0.15">
      <c r="A33" s="168" t="s">
        <v>186</v>
      </c>
      <c r="F33" s="168" t="s">
        <v>156</v>
      </c>
      <c r="H33" s="168" t="s">
        <v>163</v>
      </c>
    </row>
    <row r="35" spans="1:8" x14ac:dyDescent="0.15">
      <c r="D35" s="172" t="s">
        <v>187</v>
      </c>
    </row>
    <row r="36" spans="1:8" x14ac:dyDescent="0.15">
      <c r="A36" s="172" t="s">
        <v>188</v>
      </c>
    </row>
    <row r="37" spans="1:8" x14ac:dyDescent="0.15">
      <c r="A37" s="168" t="s">
        <v>189</v>
      </c>
    </row>
    <row r="38" spans="1:8" x14ac:dyDescent="0.15">
      <c r="A38" s="168" t="s">
        <v>190</v>
      </c>
    </row>
    <row r="39" spans="1:8" x14ac:dyDescent="0.15">
      <c r="A39" s="168" t="s">
        <v>191</v>
      </c>
    </row>
    <row r="41" spans="1:8" x14ac:dyDescent="0.15">
      <c r="A41" s="172" t="s">
        <v>192</v>
      </c>
    </row>
    <row r="43" spans="1:8" x14ac:dyDescent="0.15">
      <c r="A43" s="172" t="s">
        <v>193</v>
      </c>
    </row>
    <row r="44" spans="1:8" x14ac:dyDescent="0.15">
      <c r="A44" s="168" t="s">
        <v>194</v>
      </c>
    </row>
    <row r="45" spans="1:8" x14ac:dyDescent="0.15">
      <c r="D45" s="168" t="s">
        <v>195</v>
      </c>
      <c r="H45" s="168" t="s">
        <v>196</v>
      </c>
    </row>
    <row r="46" spans="1:8" x14ac:dyDescent="0.15">
      <c r="D46" s="168" t="s">
        <v>197</v>
      </c>
      <c r="H46" s="168" t="s">
        <v>198</v>
      </c>
    </row>
    <row r="47" spans="1:8" x14ac:dyDescent="0.15">
      <c r="D47" s="168" t="s">
        <v>199</v>
      </c>
      <c r="H47" s="168" t="s">
        <v>200</v>
      </c>
    </row>
    <row r="49" spans="1:8" x14ac:dyDescent="0.15">
      <c r="A49" s="168" t="s">
        <v>201</v>
      </c>
    </row>
    <row r="50" spans="1:8" x14ac:dyDescent="0.15">
      <c r="D50" s="168" t="s">
        <v>195</v>
      </c>
      <c r="H50" s="168" t="s">
        <v>202</v>
      </c>
    </row>
    <row r="51" spans="1:8" x14ac:dyDescent="0.15">
      <c r="D51" s="168" t="s">
        <v>197</v>
      </c>
      <c r="H51" s="168" t="s">
        <v>203</v>
      </c>
    </row>
    <row r="52" spans="1:8" x14ac:dyDescent="0.15">
      <c r="D52" s="168" t="s">
        <v>199</v>
      </c>
      <c r="H52" s="168" t="s">
        <v>198</v>
      </c>
    </row>
    <row r="54" spans="1:8" x14ac:dyDescent="0.15">
      <c r="D54" s="169" t="s">
        <v>152</v>
      </c>
    </row>
    <row r="55" spans="1:8" x14ac:dyDescent="0.15">
      <c r="D55" s="172"/>
    </row>
    <row r="56" spans="1:8" x14ac:dyDescent="0.15">
      <c r="D56" s="172" t="s">
        <v>187</v>
      </c>
    </row>
    <row r="57" spans="1:8" x14ac:dyDescent="0.15">
      <c r="A57" s="172" t="s">
        <v>204</v>
      </c>
    </row>
    <row r="58" spans="1:8" x14ac:dyDescent="0.15">
      <c r="A58" s="168" t="s">
        <v>205</v>
      </c>
    </row>
    <row r="59" spans="1:8" x14ac:dyDescent="0.15">
      <c r="D59" s="168" t="s">
        <v>195</v>
      </c>
      <c r="H59" s="168" t="s">
        <v>206</v>
      </c>
    </row>
    <row r="60" spans="1:8" x14ac:dyDescent="0.15">
      <c r="D60" s="168" t="s">
        <v>197</v>
      </c>
      <c r="H60" s="168" t="s">
        <v>207</v>
      </c>
    </row>
    <row r="62" spans="1:8" x14ac:dyDescent="0.15">
      <c r="A62" s="168" t="s">
        <v>201</v>
      </c>
    </row>
    <row r="63" spans="1:8" x14ac:dyDescent="0.15">
      <c r="D63" s="168" t="s">
        <v>195</v>
      </c>
      <c r="H63" s="168" t="s">
        <v>208</v>
      </c>
    </row>
    <row r="64" spans="1:8" x14ac:dyDescent="0.15">
      <c r="D64" s="168" t="s">
        <v>197</v>
      </c>
      <c r="H64" s="168" t="s">
        <v>206</v>
      </c>
    </row>
    <row r="66" spans="1:9" x14ac:dyDescent="0.15">
      <c r="A66" s="172" t="s">
        <v>209</v>
      </c>
    </row>
    <row r="67" spans="1:9" x14ac:dyDescent="0.15">
      <c r="A67" s="168" t="s">
        <v>205</v>
      </c>
    </row>
    <row r="68" spans="1:9" x14ac:dyDescent="0.15">
      <c r="D68" s="168" t="s">
        <v>197</v>
      </c>
      <c r="H68" s="168" t="s">
        <v>202</v>
      </c>
    </row>
    <row r="70" spans="1:9" x14ac:dyDescent="0.15">
      <c r="A70" s="168" t="s">
        <v>201</v>
      </c>
    </row>
    <row r="71" spans="1:9" x14ac:dyDescent="0.15">
      <c r="D71" s="168" t="s">
        <v>197</v>
      </c>
      <c r="H71" s="168" t="s">
        <v>210</v>
      </c>
      <c r="I71" s="170">
        <v>520</v>
      </c>
    </row>
    <row r="72" spans="1:9" x14ac:dyDescent="0.15">
      <c r="A72" s="172" t="s">
        <v>211</v>
      </c>
    </row>
    <row r="73" spans="1:9" x14ac:dyDescent="0.15">
      <c r="A73" s="168" t="s">
        <v>212</v>
      </c>
      <c r="H73" s="168" t="s">
        <v>213</v>
      </c>
    </row>
    <row r="75" spans="1:9" x14ac:dyDescent="0.15">
      <c r="A75" s="172"/>
      <c r="D75" s="172" t="s">
        <v>214</v>
      </c>
      <c r="E75" s="172"/>
    </row>
    <row r="76" spans="1:9" x14ac:dyDescent="0.15">
      <c r="A76" s="172" t="s">
        <v>215</v>
      </c>
    </row>
    <row r="77" spans="1:9" x14ac:dyDescent="0.15">
      <c r="A77" s="168" t="s">
        <v>216</v>
      </c>
      <c r="H77" s="168" t="s">
        <v>217</v>
      </c>
    </row>
    <row r="78" spans="1:9" x14ac:dyDescent="0.15">
      <c r="A78" s="168" t="s">
        <v>218</v>
      </c>
      <c r="H78" s="168" t="s">
        <v>219</v>
      </c>
    </row>
    <row r="80" spans="1:9" x14ac:dyDescent="0.15">
      <c r="A80" s="172" t="s">
        <v>220</v>
      </c>
    </row>
    <row r="81" spans="1:11" x14ac:dyDescent="0.15">
      <c r="A81" s="168" t="s">
        <v>216</v>
      </c>
      <c r="H81" s="168" t="s">
        <v>219</v>
      </c>
    </row>
    <row r="82" spans="1:11" x14ac:dyDescent="0.15">
      <c r="A82" s="168" t="s">
        <v>218</v>
      </c>
      <c r="H82" s="168" t="s">
        <v>221</v>
      </c>
    </row>
    <row r="83" spans="1:11" x14ac:dyDescent="0.15">
      <c r="A83" s="172"/>
      <c r="D83" s="172" t="s">
        <v>222</v>
      </c>
      <c r="E83" s="172"/>
    </row>
    <row r="84" spans="1:11" x14ac:dyDescent="0.15">
      <c r="A84" s="168" t="s">
        <v>223</v>
      </c>
      <c r="H84" s="168" t="s">
        <v>224</v>
      </c>
    </row>
    <row r="85" spans="1:11" x14ac:dyDescent="0.15">
      <c r="A85" s="168" t="s">
        <v>225</v>
      </c>
      <c r="H85" s="168" t="s">
        <v>226</v>
      </c>
    </row>
    <row r="86" spans="1:11" x14ac:dyDescent="0.15">
      <c r="A86" s="168" t="s">
        <v>227</v>
      </c>
      <c r="H86" s="168" t="s">
        <v>228</v>
      </c>
    </row>
    <row r="87" spans="1:11" x14ac:dyDescent="0.15">
      <c r="A87" s="168" t="s">
        <v>229</v>
      </c>
      <c r="H87" s="168" t="s">
        <v>230</v>
      </c>
      <c r="K87">
        <f>5.11*1.3</f>
        <v>6.6430000000000007</v>
      </c>
    </row>
    <row r="88" spans="1:11" x14ac:dyDescent="0.15">
      <c r="A88" s="168" t="s">
        <v>231</v>
      </c>
      <c r="H88" s="168" t="s">
        <v>232</v>
      </c>
    </row>
    <row r="89" spans="1:11" x14ac:dyDescent="0.15">
      <c r="A89" s="168" t="s">
        <v>233</v>
      </c>
      <c r="H89" s="168" t="s">
        <v>234</v>
      </c>
    </row>
    <row r="90" spans="1:11" x14ac:dyDescent="0.15">
      <c r="A90" s="168" t="s">
        <v>235</v>
      </c>
      <c r="H90" s="168" t="s">
        <v>236</v>
      </c>
    </row>
    <row r="91" spans="1:11" x14ac:dyDescent="0.15">
      <c r="A91" s="168" t="s">
        <v>237</v>
      </c>
      <c r="H91" s="168" t="s">
        <v>238</v>
      </c>
    </row>
    <row r="92" spans="1:11" x14ac:dyDescent="0.15">
      <c r="A92" s="168" t="s">
        <v>239</v>
      </c>
      <c r="H92" s="168" t="s">
        <v>240</v>
      </c>
    </row>
    <row r="93" spans="1:11" x14ac:dyDescent="0.15">
      <c r="A93" s="168" t="s">
        <v>241</v>
      </c>
      <c r="H93" s="168" t="s">
        <v>242</v>
      </c>
    </row>
    <row r="94" spans="1:11" x14ac:dyDescent="0.15">
      <c r="A94" s="168" t="s">
        <v>874</v>
      </c>
      <c r="F94" s="168" t="s">
        <v>364</v>
      </c>
      <c r="H94" s="168" t="s">
        <v>873</v>
      </c>
      <c r="I94" s="451"/>
    </row>
    <row r="95" spans="1:11" x14ac:dyDescent="0.15">
      <c r="D95" s="172" t="s">
        <v>243</v>
      </c>
    </row>
    <row r="96" spans="1:11" x14ac:dyDescent="0.15">
      <c r="A96" s="172" t="s">
        <v>244</v>
      </c>
      <c r="F96" s="173" t="s">
        <v>245</v>
      </c>
      <c r="G96" s="172"/>
      <c r="H96" s="172" t="s">
        <v>246</v>
      </c>
      <c r="I96" s="174"/>
    </row>
    <row r="97" spans="1:11" x14ac:dyDescent="0.15">
      <c r="A97" s="175" t="s">
        <v>247</v>
      </c>
      <c r="F97" s="168">
        <v>10.6</v>
      </c>
      <c r="H97" s="168">
        <v>1.3</v>
      </c>
    </row>
    <row r="98" spans="1:11" x14ac:dyDescent="0.15">
      <c r="A98" s="168" t="s">
        <v>248</v>
      </c>
      <c r="F98" s="168">
        <v>8.9</v>
      </c>
      <c r="H98" s="168">
        <v>1.4</v>
      </c>
    </row>
    <row r="99" spans="1:11" x14ac:dyDescent="0.15">
      <c r="A99" s="168" t="s">
        <v>249</v>
      </c>
      <c r="F99" s="168">
        <v>7.5</v>
      </c>
      <c r="H99" s="168">
        <v>1.5</v>
      </c>
    </row>
    <row r="100" spans="1:11" x14ac:dyDescent="0.15">
      <c r="A100" s="168" t="s">
        <v>250</v>
      </c>
      <c r="F100" s="168">
        <v>6.5</v>
      </c>
      <c r="H100" s="168">
        <v>1.6</v>
      </c>
    </row>
    <row r="101" spans="1:11" x14ac:dyDescent="0.15">
      <c r="A101" s="168" t="s">
        <v>251</v>
      </c>
      <c r="F101" s="168">
        <v>6.2</v>
      </c>
      <c r="H101" s="168">
        <v>1.7</v>
      </c>
    </row>
    <row r="102" spans="1:11" x14ac:dyDescent="0.15">
      <c r="A102" s="168" t="s">
        <v>252</v>
      </c>
      <c r="F102" s="168">
        <v>5.4</v>
      </c>
      <c r="H102" s="168">
        <v>1.7</v>
      </c>
    </row>
    <row r="103" spans="1:11" x14ac:dyDescent="0.15">
      <c r="B103" s="168" t="s">
        <v>253</v>
      </c>
    </row>
    <row r="105" spans="1:11" x14ac:dyDescent="0.15">
      <c r="D105" s="169"/>
    </row>
    <row r="106" spans="1:11" x14ac:dyDescent="0.15">
      <c r="D106" s="172"/>
    </row>
    <row r="107" spans="1:11" x14ac:dyDescent="0.15">
      <c r="D107" s="169" t="s">
        <v>152</v>
      </c>
    </row>
    <row r="108" spans="1:11" x14ac:dyDescent="0.15">
      <c r="D108" s="172"/>
    </row>
    <row r="109" spans="1:11" x14ac:dyDescent="0.15">
      <c r="D109" s="172" t="s">
        <v>254</v>
      </c>
    </row>
    <row r="111" spans="1:11" x14ac:dyDescent="0.15">
      <c r="A111" s="172" t="s">
        <v>255</v>
      </c>
    </row>
    <row r="112" spans="1:11" x14ac:dyDescent="0.15">
      <c r="A112" s="168" t="s">
        <v>256</v>
      </c>
      <c r="H112" s="168" t="s">
        <v>257</v>
      </c>
      <c r="J112" s="408" t="s">
        <v>1</v>
      </c>
      <c r="K112">
        <f>10.6*0.02</f>
        <v>0.21199999999999999</v>
      </c>
    </row>
    <row r="113" spans="1:16" x14ac:dyDescent="0.15">
      <c r="A113" s="168" t="s">
        <v>258</v>
      </c>
      <c r="H113" s="168" t="s">
        <v>259</v>
      </c>
      <c r="J113" s="408" t="s">
        <v>872</v>
      </c>
      <c r="K113">
        <f>1.3*0.02</f>
        <v>2.6000000000000002E-2</v>
      </c>
    </row>
    <row r="114" spans="1:16" x14ac:dyDescent="0.15">
      <c r="A114" s="168" t="s">
        <v>260</v>
      </c>
      <c r="H114" s="168" t="s">
        <v>261</v>
      </c>
    </row>
    <row r="115" spans="1:16" x14ac:dyDescent="0.15">
      <c r="A115" s="168" t="s">
        <v>262</v>
      </c>
      <c r="H115" s="168" t="s">
        <v>263</v>
      </c>
    </row>
    <row r="116" spans="1:16" x14ac:dyDescent="0.15">
      <c r="A116" s="168" t="s">
        <v>264</v>
      </c>
      <c r="H116" s="168" t="s">
        <v>265</v>
      </c>
    </row>
    <row r="117" spans="1:16" x14ac:dyDescent="0.15">
      <c r="A117" s="168" t="s">
        <v>266</v>
      </c>
      <c r="H117" s="168" t="s">
        <v>267</v>
      </c>
    </row>
    <row r="119" spans="1:16" x14ac:dyDescent="0.15">
      <c r="A119" s="168" t="s">
        <v>268</v>
      </c>
      <c r="G119" s="172" t="s">
        <v>269</v>
      </c>
      <c r="H119" s="176" t="s">
        <v>270</v>
      </c>
      <c r="I119" s="177"/>
      <c r="K119">
        <f>1/0.075</f>
        <v>13.333333333333334</v>
      </c>
    </row>
    <row r="120" spans="1:16" x14ac:dyDescent="0.15">
      <c r="A120" s="168" t="s">
        <v>271</v>
      </c>
      <c r="G120" s="168">
        <v>35</v>
      </c>
      <c r="H120" s="178" t="s">
        <v>272</v>
      </c>
      <c r="I120" s="179"/>
    </row>
    <row r="121" spans="1:16" x14ac:dyDescent="0.15">
      <c r="A121" s="168" t="s">
        <v>273</v>
      </c>
      <c r="G121" s="168">
        <v>52</v>
      </c>
      <c r="H121" s="178" t="s">
        <v>272</v>
      </c>
      <c r="I121" s="179"/>
    </row>
    <row r="122" spans="1:16" x14ac:dyDescent="0.15">
      <c r="A122" s="168" t="s">
        <v>260</v>
      </c>
      <c r="G122" s="168">
        <v>104</v>
      </c>
      <c r="H122" s="178" t="s">
        <v>272</v>
      </c>
      <c r="I122" s="179"/>
      <c r="P122" s="408">
        <f>1/P123</f>
        <v>266.66666666666669</v>
      </c>
    </row>
    <row r="123" spans="1:16" x14ac:dyDescent="0.15">
      <c r="C123" s="168" t="s">
        <v>274</v>
      </c>
      <c r="P123">
        <f>0.075*0.05</f>
        <v>3.7499999999999999E-3</v>
      </c>
    </row>
    <row r="124" spans="1:16" x14ac:dyDescent="0.15">
      <c r="A124" s="168" t="s">
        <v>275</v>
      </c>
      <c r="G124" s="168">
        <v>26</v>
      </c>
      <c r="H124" s="168">
        <v>78</v>
      </c>
    </row>
    <row r="125" spans="1:16" x14ac:dyDescent="0.15">
      <c r="A125" s="168" t="s">
        <v>276</v>
      </c>
      <c r="G125" s="168">
        <v>39</v>
      </c>
      <c r="H125" s="168">
        <v>65</v>
      </c>
    </row>
    <row r="126" spans="1:16" x14ac:dyDescent="0.15">
      <c r="A126" s="168" t="s">
        <v>277</v>
      </c>
      <c r="G126" s="168">
        <v>42</v>
      </c>
      <c r="H126" s="168">
        <v>62</v>
      </c>
    </row>
    <row r="127" spans="1:16" x14ac:dyDescent="0.15">
      <c r="A127" s="168" t="s">
        <v>278</v>
      </c>
      <c r="G127" s="168">
        <v>39</v>
      </c>
      <c r="H127" s="168">
        <v>65</v>
      </c>
    </row>
    <row r="128" spans="1:16" x14ac:dyDescent="0.15">
      <c r="A128" s="168" t="s">
        <v>279</v>
      </c>
      <c r="G128" s="168">
        <v>455</v>
      </c>
      <c r="H128" s="178" t="s">
        <v>272</v>
      </c>
      <c r="I128" s="179"/>
    </row>
    <row r="130" spans="1:7" x14ac:dyDescent="0.15">
      <c r="A130" s="172" t="s">
        <v>280</v>
      </c>
    </row>
    <row r="131" spans="1:7" x14ac:dyDescent="0.15">
      <c r="A131" s="168" t="s">
        <v>281</v>
      </c>
      <c r="G131" s="168" t="s">
        <v>282</v>
      </c>
    </row>
    <row r="132" spans="1:7" x14ac:dyDescent="0.15">
      <c r="A132" s="168" t="s">
        <v>283</v>
      </c>
      <c r="G132" s="168" t="s">
        <v>267</v>
      </c>
    </row>
    <row r="133" spans="1:7" x14ac:dyDescent="0.15">
      <c r="C133" s="180" t="s">
        <v>284</v>
      </c>
      <c r="G133" s="168" t="s">
        <v>285</v>
      </c>
    </row>
    <row r="134" spans="1:7" x14ac:dyDescent="0.15">
      <c r="C134" s="168" t="s">
        <v>286</v>
      </c>
      <c r="G134" s="168" t="s">
        <v>287</v>
      </c>
    </row>
    <row r="136" spans="1:7" x14ac:dyDescent="0.15">
      <c r="B136" s="168" t="s">
        <v>288</v>
      </c>
    </row>
    <row r="138" spans="1:7" x14ac:dyDescent="0.15">
      <c r="B138" s="172" t="s">
        <v>289</v>
      </c>
    </row>
    <row r="139" spans="1:7" ht="14.25" thickBot="1" x14ac:dyDescent="0.2"/>
    <row r="140" spans="1:7" ht="14.25" thickTop="1" x14ac:dyDescent="0.15">
      <c r="B140" s="181" t="s">
        <v>290</v>
      </c>
      <c r="C140" s="182" t="s">
        <v>291</v>
      </c>
      <c r="D140" s="183"/>
      <c r="E140" s="184"/>
    </row>
    <row r="141" spans="1:7" ht="14.25" thickBot="1" x14ac:dyDescent="0.2">
      <c r="B141" s="185"/>
      <c r="C141" s="186" t="s">
        <v>11</v>
      </c>
      <c r="D141" s="186" t="s">
        <v>292</v>
      </c>
      <c r="E141" s="187" t="s">
        <v>293</v>
      </c>
    </row>
    <row r="142" spans="1:7" ht="14.25" thickTop="1" x14ac:dyDescent="0.15">
      <c r="B142" s="188" t="s">
        <v>294</v>
      </c>
      <c r="C142" s="189">
        <v>22.4</v>
      </c>
      <c r="D142" s="189"/>
      <c r="E142" s="190">
        <v>0.91</v>
      </c>
    </row>
    <row r="143" spans="1:7" x14ac:dyDescent="0.15">
      <c r="B143" s="191" t="s">
        <v>295</v>
      </c>
      <c r="C143" s="189">
        <v>10.48</v>
      </c>
      <c r="D143" s="189"/>
      <c r="E143" s="190">
        <v>1.25</v>
      </c>
    </row>
    <row r="144" spans="1:7" x14ac:dyDescent="0.15">
      <c r="B144" s="191" t="s">
        <v>296</v>
      </c>
      <c r="C144" s="189">
        <v>10.6</v>
      </c>
      <c r="D144" s="189"/>
      <c r="E144" s="190">
        <v>1.38</v>
      </c>
    </row>
    <row r="145" spans="1:9" x14ac:dyDescent="0.15">
      <c r="B145" s="191" t="s">
        <v>297</v>
      </c>
      <c r="C145" s="189">
        <v>8.9</v>
      </c>
      <c r="D145" s="189"/>
      <c r="E145" s="190">
        <v>1.5</v>
      </c>
    </row>
    <row r="146" spans="1:9" x14ac:dyDescent="0.15">
      <c r="B146" s="191" t="s">
        <v>298</v>
      </c>
      <c r="C146" s="189">
        <v>7.8</v>
      </c>
      <c r="D146" s="189"/>
      <c r="E146" s="190">
        <v>1.63</v>
      </c>
    </row>
    <row r="147" spans="1:9" x14ac:dyDescent="0.15">
      <c r="B147" s="191" t="s">
        <v>299</v>
      </c>
      <c r="C147" s="189">
        <v>6.4</v>
      </c>
      <c r="D147" s="189"/>
      <c r="E147" s="190">
        <v>1.69</v>
      </c>
    </row>
    <row r="148" spans="1:9" x14ac:dyDescent="0.15">
      <c r="B148" s="191" t="s">
        <v>300</v>
      </c>
      <c r="C148" s="189">
        <v>5.9</v>
      </c>
      <c r="D148" s="189"/>
      <c r="E148" s="190">
        <v>1.75</v>
      </c>
    </row>
    <row r="149" spans="1:9" x14ac:dyDescent="0.15">
      <c r="B149" s="191" t="s">
        <v>301</v>
      </c>
      <c r="C149" s="189">
        <v>5.3</v>
      </c>
      <c r="D149" s="189"/>
      <c r="E149" s="190">
        <v>1.81</v>
      </c>
    </row>
    <row r="150" spans="1:9" x14ac:dyDescent="0.15">
      <c r="B150" s="191" t="s">
        <v>302</v>
      </c>
      <c r="C150" s="189">
        <v>3.6</v>
      </c>
      <c r="D150" s="189"/>
      <c r="E150" s="190">
        <v>1.38</v>
      </c>
    </row>
    <row r="151" spans="1:9" ht="14.25" thickBot="1" x14ac:dyDescent="0.2">
      <c r="B151" s="185" t="s">
        <v>303</v>
      </c>
      <c r="C151" s="186">
        <v>3</v>
      </c>
      <c r="D151" s="186"/>
      <c r="E151" s="187">
        <v>1.5</v>
      </c>
    </row>
    <row r="152" spans="1:9" ht="14.25" thickTop="1" x14ac:dyDescent="0.15"/>
    <row r="153" spans="1:9" ht="14.25" thickBot="1" x14ac:dyDescent="0.2"/>
    <row r="154" spans="1:9" ht="14.25" thickTop="1" x14ac:dyDescent="0.15">
      <c r="B154" s="192" t="s">
        <v>304</v>
      </c>
      <c r="C154" s="193"/>
      <c r="D154" s="193"/>
      <c r="E154" s="194" t="s">
        <v>305</v>
      </c>
      <c r="F154" s="183"/>
      <c r="G154" s="184"/>
    </row>
    <row r="155" spans="1:9" x14ac:dyDescent="0.15">
      <c r="A155" s="195"/>
      <c r="B155" s="196"/>
      <c r="C155" s="197">
        <v>10</v>
      </c>
      <c r="D155" s="197">
        <v>15</v>
      </c>
      <c r="E155" s="197">
        <v>20</v>
      </c>
      <c r="F155" s="197">
        <v>25</v>
      </c>
      <c r="G155" s="198">
        <v>30</v>
      </c>
      <c r="H155" s="195"/>
      <c r="I155" s="199"/>
    </row>
    <row r="156" spans="1:9" x14ac:dyDescent="0.15">
      <c r="B156" s="200" t="s">
        <v>11</v>
      </c>
      <c r="C156" s="189">
        <v>5</v>
      </c>
      <c r="D156" s="189">
        <v>6</v>
      </c>
      <c r="E156" s="189">
        <v>7</v>
      </c>
      <c r="F156" s="189">
        <v>9.26</v>
      </c>
      <c r="G156" s="201">
        <v>10.29</v>
      </c>
    </row>
    <row r="157" spans="1:9" x14ac:dyDescent="0.15">
      <c r="B157" s="200" t="s">
        <v>306</v>
      </c>
      <c r="C157" s="189">
        <v>0.8</v>
      </c>
      <c r="D157" s="189">
        <v>0.8</v>
      </c>
      <c r="E157" s="189">
        <v>0.74</v>
      </c>
      <c r="F157" s="189">
        <v>0.7</v>
      </c>
      <c r="G157" s="201">
        <v>0.65</v>
      </c>
    </row>
    <row r="158" spans="1:9" ht="14.25" thickBot="1" x14ac:dyDescent="0.2">
      <c r="B158" s="202" t="s">
        <v>307</v>
      </c>
      <c r="C158" s="186">
        <v>0.8</v>
      </c>
      <c r="D158" s="186">
        <v>0.8</v>
      </c>
      <c r="E158" s="186">
        <v>0.77</v>
      </c>
      <c r="F158" s="186">
        <v>0.78</v>
      </c>
      <c r="G158" s="203">
        <v>0.78</v>
      </c>
    </row>
    <row r="159" spans="1:9" ht="14.25" thickTop="1" x14ac:dyDescent="0.15">
      <c r="A159" s="172"/>
      <c r="H159" s="170"/>
    </row>
    <row r="160" spans="1:9" x14ac:dyDescent="0.15">
      <c r="B160" s="168" t="s">
        <v>308</v>
      </c>
    </row>
    <row r="161" spans="1:11" x14ac:dyDescent="0.15">
      <c r="A161" s="172"/>
      <c r="E161" s="172"/>
      <c r="H161" s="170"/>
    </row>
    <row r="162" spans="1:11" x14ac:dyDescent="0.15">
      <c r="D162" s="169" t="s">
        <v>152</v>
      </c>
    </row>
    <row r="163" spans="1:11" x14ac:dyDescent="0.15">
      <c r="A163" s="173"/>
      <c r="D163" s="173"/>
      <c r="H163" s="170"/>
    </row>
    <row r="164" spans="1:11" x14ac:dyDescent="0.15">
      <c r="A164" s="173"/>
      <c r="D164" s="173" t="s">
        <v>309</v>
      </c>
      <c r="H164" s="170"/>
    </row>
    <row r="165" spans="1:11" x14ac:dyDescent="0.15">
      <c r="A165" s="172" t="s">
        <v>310</v>
      </c>
      <c r="K165">
        <f>14.93*1.3</f>
        <v>19.408999999999999</v>
      </c>
    </row>
    <row r="167" spans="1:11" x14ac:dyDescent="0.15">
      <c r="A167" s="172" t="s">
        <v>311</v>
      </c>
      <c r="E167" s="172" t="s">
        <v>312</v>
      </c>
      <c r="H167" s="172" t="s">
        <v>313</v>
      </c>
      <c r="I167" s="174"/>
    </row>
    <row r="168" spans="1:11" x14ac:dyDescent="0.15">
      <c r="A168" s="168" t="s">
        <v>875</v>
      </c>
      <c r="E168" s="168" t="s">
        <v>314</v>
      </c>
      <c r="H168" s="168" t="s">
        <v>315</v>
      </c>
    </row>
    <row r="169" spans="1:11" x14ac:dyDescent="0.15">
      <c r="A169" s="168" t="s">
        <v>876</v>
      </c>
      <c r="E169" s="168" t="s">
        <v>316</v>
      </c>
      <c r="H169" s="168" t="s">
        <v>317</v>
      </c>
    </row>
    <row r="170" spans="1:11" x14ac:dyDescent="0.15">
      <c r="A170" s="168" t="s">
        <v>877</v>
      </c>
      <c r="E170" s="168" t="s">
        <v>318</v>
      </c>
      <c r="H170" s="180" t="s">
        <v>319</v>
      </c>
      <c r="I170" s="204"/>
    </row>
    <row r="171" spans="1:11" x14ac:dyDescent="0.15">
      <c r="A171" s="168" t="s">
        <v>878</v>
      </c>
      <c r="E171" s="168" t="s">
        <v>320</v>
      </c>
      <c r="H171" s="168" t="s">
        <v>321</v>
      </c>
    </row>
    <row r="173" spans="1:11" x14ac:dyDescent="0.15">
      <c r="A173" s="172" t="s">
        <v>322</v>
      </c>
    </row>
    <row r="174" spans="1:11" x14ac:dyDescent="0.15">
      <c r="A174" s="168" t="s">
        <v>323</v>
      </c>
      <c r="E174" s="168" t="s">
        <v>324</v>
      </c>
    </row>
    <row r="175" spans="1:11" x14ac:dyDescent="0.15">
      <c r="A175" s="168" t="s">
        <v>325</v>
      </c>
      <c r="E175" s="168" t="s">
        <v>326</v>
      </c>
    </row>
    <row r="176" spans="1:11" x14ac:dyDescent="0.15">
      <c r="A176" s="168" t="s">
        <v>327</v>
      </c>
      <c r="E176" s="168" t="s">
        <v>328</v>
      </c>
    </row>
    <row r="177" spans="1:5" x14ac:dyDescent="0.15">
      <c r="A177" s="168" t="s">
        <v>329</v>
      </c>
      <c r="E177" s="168" t="s">
        <v>330</v>
      </c>
    </row>
    <row r="178" spans="1:5" x14ac:dyDescent="0.15">
      <c r="A178" s="168" t="s">
        <v>331</v>
      </c>
      <c r="E178" s="168" t="s">
        <v>213</v>
      </c>
    </row>
    <row r="179" spans="1:5" x14ac:dyDescent="0.15">
      <c r="A179" s="168" t="s">
        <v>332</v>
      </c>
      <c r="E179" s="168" t="s">
        <v>330</v>
      </c>
    </row>
    <row r="180" spans="1:5" x14ac:dyDescent="0.15">
      <c r="A180" s="168" t="s">
        <v>333</v>
      </c>
      <c r="E180" s="168" t="s">
        <v>334</v>
      </c>
    </row>
    <row r="181" spans="1:5" x14ac:dyDescent="0.15">
      <c r="A181" s="168" t="s">
        <v>335</v>
      </c>
      <c r="E181" s="168" t="s">
        <v>334</v>
      </c>
    </row>
    <row r="182" spans="1:5" x14ac:dyDescent="0.15">
      <c r="A182" s="168" t="s">
        <v>6</v>
      </c>
      <c r="E182" s="168" t="s">
        <v>213</v>
      </c>
    </row>
    <row r="183" spans="1:5" x14ac:dyDescent="0.15">
      <c r="A183" s="168" t="s">
        <v>336</v>
      </c>
      <c r="E183" s="168" t="s">
        <v>330</v>
      </c>
    </row>
    <row r="185" spans="1:5" x14ac:dyDescent="0.15">
      <c r="A185" s="168" t="s">
        <v>337</v>
      </c>
    </row>
    <row r="187" spans="1:5" x14ac:dyDescent="0.15">
      <c r="A187" s="168" t="s">
        <v>338</v>
      </c>
      <c r="E187" s="168" t="s">
        <v>339</v>
      </c>
    </row>
    <row r="188" spans="1:5" x14ac:dyDescent="0.15">
      <c r="A188" s="168" t="s">
        <v>340</v>
      </c>
      <c r="E188" s="168" t="s">
        <v>341</v>
      </c>
    </row>
    <row r="189" spans="1:5" x14ac:dyDescent="0.15">
      <c r="A189" s="168" t="s">
        <v>342</v>
      </c>
      <c r="E189" s="168" t="s">
        <v>341</v>
      </c>
    </row>
    <row r="190" spans="1:5" x14ac:dyDescent="0.15">
      <c r="A190" s="168" t="s">
        <v>343</v>
      </c>
      <c r="E190" s="168" t="s">
        <v>344</v>
      </c>
    </row>
    <row r="191" spans="1:5" x14ac:dyDescent="0.15">
      <c r="A191" s="168" t="s">
        <v>345</v>
      </c>
      <c r="E191" s="168" t="s">
        <v>346</v>
      </c>
    </row>
    <row r="192" spans="1:5" x14ac:dyDescent="0.15">
      <c r="A192" s="168" t="s">
        <v>347</v>
      </c>
      <c r="E192" s="168" t="s">
        <v>348</v>
      </c>
    </row>
    <row r="194" spans="1:9" x14ac:dyDescent="0.15">
      <c r="A194" s="172"/>
      <c r="D194" s="172" t="s">
        <v>349</v>
      </c>
    </row>
    <row r="196" spans="1:9" x14ac:dyDescent="0.15">
      <c r="A196" s="168" t="s">
        <v>350</v>
      </c>
    </row>
    <row r="198" spans="1:9" x14ac:dyDescent="0.15">
      <c r="A198" s="168" t="s">
        <v>351</v>
      </c>
      <c r="H198" s="172" t="s">
        <v>352</v>
      </c>
      <c r="I198" s="174"/>
    </row>
    <row r="199" spans="1:9" x14ac:dyDescent="0.15">
      <c r="A199" s="168" t="s">
        <v>353</v>
      </c>
      <c r="H199" s="168" t="s">
        <v>354</v>
      </c>
    </row>
    <row r="200" spans="1:9" x14ac:dyDescent="0.15">
      <c r="A200" s="168" t="s">
        <v>6</v>
      </c>
      <c r="H200" s="168" t="s">
        <v>355</v>
      </c>
    </row>
    <row r="201" spans="1:9" x14ac:dyDescent="0.15">
      <c r="A201" s="168" t="s">
        <v>356</v>
      </c>
      <c r="H201" s="168" t="s">
        <v>357</v>
      </c>
    </row>
    <row r="202" spans="1:9" x14ac:dyDescent="0.15">
      <c r="A202" s="168" t="s">
        <v>358</v>
      </c>
      <c r="H202" s="168" t="s">
        <v>359</v>
      </c>
    </row>
    <row r="203" spans="1:9" x14ac:dyDescent="0.15">
      <c r="A203" s="168" t="s">
        <v>360</v>
      </c>
      <c r="H203" s="168" t="s">
        <v>361</v>
      </c>
    </row>
    <row r="204" spans="1:9" x14ac:dyDescent="0.15">
      <c r="D204" s="172" t="s">
        <v>362</v>
      </c>
    </row>
    <row r="206" spans="1:9" x14ac:dyDescent="0.15">
      <c r="A206" s="168" t="s">
        <v>363</v>
      </c>
      <c r="E206" s="168" t="s">
        <v>364</v>
      </c>
      <c r="H206" s="168" t="s">
        <v>365</v>
      </c>
    </row>
    <row r="207" spans="1:9" x14ac:dyDescent="0.15">
      <c r="A207" s="168" t="s">
        <v>366</v>
      </c>
      <c r="E207" s="168" t="s">
        <v>364</v>
      </c>
      <c r="H207" s="168" t="s">
        <v>367</v>
      </c>
    </row>
    <row r="208" spans="1:9" x14ac:dyDescent="0.15">
      <c r="A208" s="168" t="s">
        <v>368</v>
      </c>
      <c r="E208" s="168" t="s">
        <v>364</v>
      </c>
      <c r="H208" s="168" t="s">
        <v>369</v>
      </c>
    </row>
    <row r="209" spans="1:8" x14ac:dyDescent="0.15">
      <c r="A209" s="168" t="s">
        <v>366</v>
      </c>
      <c r="E209" s="168" t="s">
        <v>364</v>
      </c>
      <c r="H209" s="168" t="s">
        <v>370</v>
      </c>
    </row>
    <row r="210" spans="1:8" x14ac:dyDescent="0.15">
      <c r="A210" s="168" t="s">
        <v>371</v>
      </c>
      <c r="E210" s="168" t="s">
        <v>364</v>
      </c>
      <c r="H210" s="168" t="s">
        <v>372</v>
      </c>
    </row>
    <row r="211" spans="1:8" x14ac:dyDescent="0.15">
      <c r="A211" s="168" t="s">
        <v>373</v>
      </c>
      <c r="E211" s="168" t="s">
        <v>364</v>
      </c>
      <c r="H211" s="168" t="s">
        <v>367</v>
      </c>
    </row>
    <row r="212" spans="1:8" x14ac:dyDescent="0.15">
      <c r="A212" s="168" t="s">
        <v>374</v>
      </c>
    </row>
    <row r="213" spans="1:8" x14ac:dyDescent="0.15">
      <c r="A213" s="168" t="s">
        <v>375</v>
      </c>
      <c r="E213" s="168" t="s">
        <v>364</v>
      </c>
      <c r="H213" s="168" t="s">
        <v>365</v>
      </c>
    </row>
    <row r="214" spans="1:8" x14ac:dyDescent="0.15">
      <c r="A214" s="168" t="s">
        <v>376</v>
      </c>
      <c r="E214" s="168" t="s">
        <v>364</v>
      </c>
      <c r="H214" s="168" t="s">
        <v>377</v>
      </c>
    </row>
    <row r="216" spans="1:8" x14ac:dyDescent="0.15">
      <c r="D216" s="169" t="s">
        <v>152</v>
      </c>
    </row>
    <row r="218" spans="1:8" x14ac:dyDescent="0.15">
      <c r="D218" s="172" t="s">
        <v>362</v>
      </c>
    </row>
    <row r="220" spans="1:8" x14ac:dyDescent="0.15">
      <c r="A220" s="168" t="s">
        <v>378</v>
      </c>
      <c r="E220" s="168" t="s">
        <v>364</v>
      </c>
      <c r="H220" s="168" t="s">
        <v>157</v>
      </c>
    </row>
    <row r="221" spans="1:8" x14ac:dyDescent="0.15">
      <c r="A221" s="168" t="s">
        <v>379</v>
      </c>
      <c r="E221" s="168" t="s">
        <v>364</v>
      </c>
      <c r="H221" s="168" t="s">
        <v>365</v>
      </c>
    </row>
    <row r="223" spans="1:8" x14ac:dyDescent="0.15">
      <c r="A223" s="168" t="s">
        <v>380</v>
      </c>
      <c r="E223" s="168" t="s">
        <v>381</v>
      </c>
      <c r="H223" s="168" t="s">
        <v>382</v>
      </c>
    </row>
    <row r="224" spans="1:8" x14ac:dyDescent="0.15">
      <c r="A224" s="168" t="s">
        <v>383</v>
      </c>
      <c r="E224" s="168" t="s">
        <v>384</v>
      </c>
      <c r="H224" s="168" t="s">
        <v>382</v>
      </c>
    </row>
    <row r="225" spans="1:8" x14ac:dyDescent="0.15">
      <c r="A225" s="168" t="s">
        <v>379</v>
      </c>
      <c r="E225" s="168" t="s">
        <v>384</v>
      </c>
      <c r="H225" s="168" t="s">
        <v>385</v>
      </c>
    </row>
    <row r="227" spans="1:8" x14ac:dyDescent="0.15">
      <c r="D227" s="172" t="s">
        <v>386</v>
      </c>
    </row>
    <row r="228" spans="1:8" ht="14.25" thickBot="1" x14ac:dyDescent="0.2"/>
    <row r="229" spans="1:8" ht="14.25" thickTop="1" x14ac:dyDescent="0.15">
      <c r="B229" s="205"/>
      <c r="C229" s="190"/>
      <c r="D229" s="206" t="s">
        <v>290</v>
      </c>
      <c r="E229" s="193" t="s">
        <v>387</v>
      </c>
      <c r="F229" s="193"/>
      <c r="G229" s="184"/>
    </row>
    <row r="230" spans="1:8" x14ac:dyDescent="0.15">
      <c r="B230" s="205"/>
      <c r="C230" s="190"/>
      <c r="D230" s="200"/>
      <c r="E230" s="207" t="s">
        <v>388</v>
      </c>
      <c r="F230" s="208" t="s">
        <v>389</v>
      </c>
      <c r="G230" s="209" t="s">
        <v>390</v>
      </c>
    </row>
    <row r="231" spans="1:8" x14ac:dyDescent="0.15">
      <c r="B231" s="205"/>
      <c r="C231" s="190"/>
      <c r="D231" s="210"/>
      <c r="E231" s="211" t="s">
        <v>391</v>
      </c>
      <c r="F231" s="212" t="s">
        <v>392</v>
      </c>
      <c r="G231" s="213" t="s">
        <v>392</v>
      </c>
    </row>
    <row r="232" spans="1:8" x14ac:dyDescent="0.15">
      <c r="B232" s="205"/>
      <c r="C232" s="190"/>
      <c r="D232" s="205" t="s">
        <v>296</v>
      </c>
      <c r="E232" s="189">
        <v>11.4</v>
      </c>
      <c r="F232" s="214" t="s">
        <v>272</v>
      </c>
      <c r="G232" s="190">
        <v>1.1000000000000001</v>
      </c>
    </row>
    <row r="233" spans="1:8" x14ac:dyDescent="0.15">
      <c r="B233" s="205"/>
      <c r="C233" s="190"/>
      <c r="D233" s="205" t="s">
        <v>393</v>
      </c>
      <c r="E233" s="189">
        <v>14.5</v>
      </c>
      <c r="F233" s="189">
        <v>0.59</v>
      </c>
      <c r="G233" s="190">
        <v>0.7</v>
      </c>
    </row>
    <row r="234" spans="1:8" ht="14.25" thickBot="1" x14ac:dyDescent="0.2">
      <c r="B234" s="205"/>
      <c r="C234" s="190"/>
      <c r="D234" s="215" t="s">
        <v>394</v>
      </c>
      <c r="E234" s="186">
        <v>12</v>
      </c>
      <c r="F234" s="186">
        <v>0.49</v>
      </c>
      <c r="G234" s="187">
        <v>0.77</v>
      </c>
    </row>
    <row r="235" spans="1:8" ht="14.25" thickTop="1" x14ac:dyDescent="0.15"/>
    <row r="236" spans="1:8" x14ac:dyDescent="0.15">
      <c r="B236" s="168" t="s">
        <v>395</v>
      </c>
      <c r="H236" s="168" t="s">
        <v>396</v>
      </c>
    </row>
    <row r="237" spans="1:8" x14ac:dyDescent="0.15">
      <c r="B237" s="168" t="s">
        <v>5</v>
      </c>
      <c r="H237" s="168" t="s">
        <v>397</v>
      </c>
    </row>
    <row r="238" spans="1:8" x14ac:dyDescent="0.15">
      <c r="B238" s="168" t="s">
        <v>398</v>
      </c>
      <c r="H238" s="168" t="s">
        <v>399</v>
      </c>
    </row>
    <row r="239" spans="1:8" x14ac:dyDescent="0.15">
      <c r="B239" s="168" t="s">
        <v>400</v>
      </c>
      <c r="H239" s="168" t="s">
        <v>401</v>
      </c>
    </row>
    <row r="240" spans="1:8" x14ac:dyDescent="0.15">
      <c r="E240" s="168" t="s">
        <v>402</v>
      </c>
    </row>
    <row r="241" spans="2:9" x14ac:dyDescent="0.15">
      <c r="D241" s="172" t="s">
        <v>403</v>
      </c>
    </row>
    <row r="242" spans="2:9" x14ac:dyDescent="0.15">
      <c r="B242" s="168" t="s">
        <v>404</v>
      </c>
      <c r="H242" s="168" t="s">
        <v>405</v>
      </c>
    </row>
    <row r="243" spans="2:9" x14ac:dyDescent="0.15">
      <c r="B243" s="168" t="s">
        <v>406</v>
      </c>
      <c r="H243" s="168" t="s">
        <v>407</v>
      </c>
    </row>
    <row r="244" spans="2:9" x14ac:dyDescent="0.15">
      <c r="B244" s="168" t="s">
        <v>408</v>
      </c>
      <c r="H244" s="168" t="s">
        <v>405</v>
      </c>
    </row>
    <row r="245" spans="2:9" x14ac:dyDescent="0.15">
      <c r="B245" s="168" t="s">
        <v>409</v>
      </c>
      <c r="H245" s="168" t="s">
        <v>410</v>
      </c>
    </row>
    <row r="246" spans="2:9" x14ac:dyDescent="0.15">
      <c r="B246" s="168" t="s">
        <v>411</v>
      </c>
      <c r="H246" s="168" t="s">
        <v>412</v>
      </c>
    </row>
    <row r="247" spans="2:9" x14ac:dyDescent="0.15">
      <c r="B247" s="168" t="s">
        <v>413</v>
      </c>
      <c r="H247" s="168" t="s">
        <v>414</v>
      </c>
    </row>
    <row r="248" spans="2:9" x14ac:dyDescent="0.15">
      <c r="B248" s="168" t="s">
        <v>415</v>
      </c>
    </row>
    <row r="250" spans="2:9" x14ac:dyDescent="0.15">
      <c r="B250" s="172" t="s">
        <v>416</v>
      </c>
    </row>
    <row r="251" spans="2:9" x14ac:dyDescent="0.15">
      <c r="B251" s="168" t="s">
        <v>417</v>
      </c>
    </row>
    <row r="253" spans="2:9" x14ac:dyDescent="0.15">
      <c r="B253" s="172" t="s">
        <v>418</v>
      </c>
      <c r="F253" s="172" t="s">
        <v>419</v>
      </c>
      <c r="H253" s="172" t="s">
        <v>420</v>
      </c>
      <c r="I253" s="174"/>
    </row>
    <row r="255" spans="2:9" x14ac:dyDescent="0.15">
      <c r="B255" s="168" t="s">
        <v>375</v>
      </c>
      <c r="F255" s="168" t="s">
        <v>421</v>
      </c>
      <c r="H255" s="168" t="s">
        <v>422</v>
      </c>
    </row>
    <row r="256" spans="2:9" x14ac:dyDescent="0.15">
      <c r="B256" s="168" t="s">
        <v>423</v>
      </c>
      <c r="F256" s="168" t="s">
        <v>424</v>
      </c>
      <c r="H256" s="168" t="s">
        <v>425</v>
      </c>
    </row>
    <row r="257" spans="2:8" x14ac:dyDescent="0.15">
      <c r="B257" s="168" t="s">
        <v>426</v>
      </c>
      <c r="F257" s="168" t="s">
        <v>427</v>
      </c>
      <c r="H257" s="168" t="s">
        <v>428</v>
      </c>
    </row>
    <row r="258" spans="2:8" ht="8.25" customHeight="1" x14ac:dyDescent="0.15"/>
    <row r="259" spans="2:8" x14ac:dyDescent="0.15">
      <c r="B259" s="172" t="s">
        <v>429</v>
      </c>
    </row>
    <row r="261" spans="2:8" x14ac:dyDescent="0.15">
      <c r="B261" s="168" t="s">
        <v>375</v>
      </c>
      <c r="F261" s="168" t="s">
        <v>424</v>
      </c>
      <c r="H261" s="168" t="s">
        <v>425</v>
      </c>
    </row>
    <row r="262" spans="2:8" x14ac:dyDescent="0.15">
      <c r="B262" s="168" t="s">
        <v>430</v>
      </c>
      <c r="F262" s="168" t="s">
        <v>427</v>
      </c>
      <c r="H262" s="168" t="s">
        <v>428</v>
      </c>
    </row>
    <row r="263" spans="2:8" ht="6.75" customHeight="1" x14ac:dyDescent="0.15"/>
    <row r="264" spans="2:8" x14ac:dyDescent="0.15">
      <c r="B264" s="172" t="s">
        <v>431</v>
      </c>
    </row>
    <row r="265" spans="2:8" x14ac:dyDescent="0.15">
      <c r="B265" s="168" t="s">
        <v>375</v>
      </c>
      <c r="F265" s="168" t="s">
        <v>424</v>
      </c>
      <c r="H265" s="168" t="s">
        <v>422</v>
      </c>
    </row>
    <row r="266" spans="2:8" x14ac:dyDescent="0.15">
      <c r="B266" s="168" t="s">
        <v>423</v>
      </c>
      <c r="F266" s="168" t="s">
        <v>432</v>
      </c>
      <c r="H266" s="168" t="s">
        <v>433</v>
      </c>
    </row>
    <row r="267" spans="2:8" x14ac:dyDescent="0.15">
      <c r="B267" s="168" t="s">
        <v>426</v>
      </c>
      <c r="F267" s="168" t="s">
        <v>434</v>
      </c>
      <c r="H267" s="168" t="s">
        <v>435</v>
      </c>
    </row>
    <row r="269" spans="2:8" x14ac:dyDescent="0.15">
      <c r="B269" s="168" t="s">
        <v>436</v>
      </c>
    </row>
    <row r="270" spans="2:8" x14ac:dyDescent="0.15">
      <c r="B270" s="168" t="s">
        <v>437</v>
      </c>
    </row>
    <row r="271" spans="2:8" x14ac:dyDescent="0.15">
      <c r="D271" s="169" t="s">
        <v>152</v>
      </c>
    </row>
    <row r="273" spans="1:9" x14ac:dyDescent="0.15">
      <c r="D273" s="172" t="s">
        <v>403</v>
      </c>
    </row>
    <row r="275" spans="1:9" x14ac:dyDescent="0.15">
      <c r="A275" s="168" t="s">
        <v>438</v>
      </c>
      <c r="B275" s="172" t="s">
        <v>439</v>
      </c>
      <c r="F275" s="172" t="s">
        <v>419</v>
      </c>
      <c r="H275" s="172" t="s">
        <v>420</v>
      </c>
      <c r="I275" s="174"/>
    </row>
    <row r="276" spans="1:9" x14ac:dyDescent="0.15">
      <c r="B276" s="172" t="s">
        <v>440</v>
      </c>
    </row>
    <row r="278" spans="1:9" x14ac:dyDescent="0.15">
      <c r="A278" s="168" t="s">
        <v>441</v>
      </c>
      <c r="B278" s="168" t="s">
        <v>375</v>
      </c>
      <c r="F278" s="168" t="s">
        <v>434</v>
      </c>
      <c r="H278" s="168" t="s">
        <v>435</v>
      </c>
    </row>
    <row r="279" spans="1:9" x14ac:dyDescent="0.15">
      <c r="B279" s="168" t="s">
        <v>442</v>
      </c>
      <c r="F279" s="168" t="s">
        <v>427</v>
      </c>
      <c r="H279" s="168" t="s">
        <v>428</v>
      </c>
    </row>
    <row r="281" spans="1:9" x14ac:dyDescent="0.15">
      <c r="B281" s="172" t="s">
        <v>443</v>
      </c>
    </row>
    <row r="282" spans="1:9" x14ac:dyDescent="0.15">
      <c r="B282" s="168" t="s">
        <v>375</v>
      </c>
      <c r="F282" s="168" t="s">
        <v>432</v>
      </c>
      <c r="H282" s="168" t="s">
        <v>433</v>
      </c>
    </row>
    <row r="283" spans="1:9" x14ac:dyDescent="0.15">
      <c r="B283" s="168" t="s">
        <v>423</v>
      </c>
      <c r="F283" s="168" t="s">
        <v>424</v>
      </c>
      <c r="H283" s="168" t="s">
        <v>425</v>
      </c>
    </row>
    <row r="284" spans="1:9" x14ac:dyDescent="0.15">
      <c r="B284" s="168" t="s">
        <v>442</v>
      </c>
      <c r="F284" s="168" t="s">
        <v>427</v>
      </c>
      <c r="H284" s="168" t="s">
        <v>428</v>
      </c>
    </row>
    <row r="287" spans="1:9" x14ac:dyDescent="0.15">
      <c r="D287" s="172" t="s">
        <v>444</v>
      </c>
    </row>
    <row r="288" spans="1:9" ht="14.25" thickBot="1" x14ac:dyDescent="0.2"/>
    <row r="289" spans="2:9" ht="14.25" thickTop="1" x14ac:dyDescent="0.15">
      <c r="B289" s="216" t="s">
        <v>445</v>
      </c>
      <c r="C289" s="217"/>
      <c r="D289" s="217" t="s">
        <v>446</v>
      </c>
      <c r="E289" s="217"/>
      <c r="F289" s="217" t="s">
        <v>447</v>
      </c>
      <c r="G289" s="217"/>
      <c r="H289" s="218" t="s">
        <v>448</v>
      </c>
      <c r="I289" s="219"/>
    </row>
    <row r="290" spans="2:9" x14ac:dyDescent="0.15">
      <c r="B290" s="191"/>
      <c r="C290" s="189"/>
      <c r="D290" s="189" t="s">
        <v>449</v>
      </c>
      <c r="E290" s="189"/>
      <c r="F290" s="189" t="s">
        <v>450</v>
      </c>
      <c r="G290" s="189"/>
      <c r="H290" s="190" t="s">
        <v>451</v>
      </c>
      <c r="I290" s="219"/>
    </row>
    <row r="291" spans="2:9" x14ac:dyDescent="0.15">
      <c r="B291" s="191"/>
      <c r="C291" s="189"/>
      <c r="D291" s="189"/>
      <c r="E291" s="189"/>
      <c r="F291" s="189" t="s">
        <v>452</v>
      </c>
      <c r="G291" s="189"/>
      <c r="H291" s="190" t="s">
        <v>453</v>
      </c>
      <c r="I291" s="219"/>
    </row>
    <row r="292" spans="2:9" ht="14.25" thickBot="1" x14ac:dyDescent="0.2">
      <c r="B292" s="185"/>
      <c r="C292" s="186"/>
      <c r="D292" s="186" t="s">
        <v>454</v>
      </c>
      <c r="E292" s="186"/>
      <c r="F292" s="186" t="s">
        <v>455</v>
      </c>
      <c r="G292" s="186"/>
      <c r="H292" s="187" t="s">
        <v>456</v>
      </c>
      <c r="I292" s="219"/>
    </row>
    <row r="293" spans="2:9" ht="14.25" thickTop="1" x14ac:dyDescent="0.15">
      <c r="B293" s="220" t="s">
        <v>457</v>
      </c>
      <c r="C293" s="217"/>
      <c r="D293" s="217">
        <v>0.222</v>
      </c>
      <c r="E293" s="217"/>
      <c r="F293" s="217">
        <v>0</v>
      </c>
      <c r="G293" s="217"/>
      <c r="H293" s="221">
        <v>0.222</v>
      </c>
      <c r="I293" s="219"/>
    </row>
    <row r="294" spans="2:9" x14ac:dyDescent="0.15">
      <c r="B294" s="200" t="s">
        <v>458</v>
      </c>
      <c r="C294" s="189"/>
      <c r="D294" s="189">
        <v>0.26</v>
      </c>
      <c r="E294" s="189"/>
      <c r="F294" s="189">
        <v>0.33200000000000002</v>
      </c>
      <c r="G294" s="189"/>
      <c r="H294" s="201">
        <v>0</v>
      </c>
      <c r="I294" s="219"/>
    </row>
    <row r="295" spans="2:9" x14ac:dyDescent="0.15">
      <c r="B295" s="200" t="s">
        <v>459</v>
      </c>
      <c r="C295" s="189"/>
      <c r="D295" s="189">
        <v>0.39500000000000002</v>
      </c>
      <c r="E295" s="189"/>
      <c r="F295" s="189">
        <v>0.502</v>
      </c>
      <c r="G295" s="189"/>
      <c r="H295" s="201">
        <v>0.39500000000000002</v>
      </c>
      <c r="I295" s="219"/>
    </row>
    <row r="296" spans="2:9" x14ac:dyDescent="0.15">
      <c r="B296" s="200" t="s">
        <v>460</v>
      </c>
      <c r="C296" s="189"/>
      <c r="D296" s="189">
        <v>0.61599999999999999</v>
      </c>
      <c r="E296" s="189"/>
      <c r="F296" s="189">
        <v>0.78400000000000003</v>
      </c>
      <c r="G296" s="189"/>
      <c r="H296" s="201">
        <v>0.61599999999999999</v>
      </c>
      <c r="I296" s="219"/>
    </row>
    <row r="297" spans="2:9" x14ac:dyDescent="0.15">
      <c r="B297" s="200" t="s">
        <v>461</v>
      </c>
      <c r="C297" s="189"/>
      <c r="D297" s="189">
        <v>0.88700000000000001</v>
      </c>
      <c r="E297" s="189"/>
      <c r="F297" s="189">
        <v>1.129</v>
      </c>
      <c r="G297" s="189"/>
      <c r="H297" s="201">
        <v>0.88800000000000001</v>
      </c>
      <c r="I297" s="219"/>
    </row>
    <row r="298" spans="2:9" x14ac:dyDescent="0.15">
      <c r="B298" s="200" t="s">
        <v>462</v>
      </c>
      <c r="C298" s="189"/>
      <c r="D298" s="189">
        <v>1.2070000000000001</v>
      </c>
      <c r="E298" s="189"/>
      <c r="F298" s="189">
        <v>1.5369999999999999</v>
      </c>
      <c r="G298" s="189"/>
      <c r="H298" s="201">
        <v>1.21</v>
      </c>
      <c r="I298" s="219"/>
    </row>
    <row r="299" spans="2:9" x14ac:dyDescent="0.15">
      <c r="B299" s="200" t="s">
        <v>463</v>
      </c>
      <c r="C299" s="189"/>
      <c r="D299" s="189">
        <v>1.577</v>
      </c>
      <c r="E299" s="189"/>
      <c r="F299" s="189">
        <v>2.008</v>
      </c>
      <c r="G299" s="189"/>
      <c r="H299" s="201">
        <v>1.579</v>
      </c>
      <c r="I299" s="219"/>
    </row>
    <row r="300" spans="2:9" x14ac:dyDescent="0.15">
      <c r="B300" s="200" t="s">
        <v>464</v>
      </c>
      <c r="C300" s="189"/>
      <c r="D300" s="189">
        <v>2.464</v>
      </c>
      <c r="E300" s="189"/>
      <c r="F300" s="189">
        <v>3.137</v>
      </c>
      <c r="G300" s="189"/>
      <c r="H300" s="201">
        <v>2.4660000000000002</v>
      </c>
      <c r="I300" s="219"/>
    </row>
    <row r="301" spans="2:9" x14ac:dyDescent="0.15">
      <c r="B301" s="200" t="s">
        <v>465</v>
      </c>
      <c r="C301" s="189"/>
      <c r="D301" s="189">
        <v>2.9809999999999999</v>
      </c>
      <c r="E301" s="189"/>
      <c r="F301" s="189">
        <v>3.7959999999999998</v>
      </c>
      <c r="G301" s="189"/>
      <c r="H301" s="201">
        <v>0</v>
      </c>
      <c r="I301" s="219"/>
    </row>
    <row r="302" spans="2:9" x14ac:dyDescent="0.15">
      <c r="B302" s="200" t="s">
        <v>466</v>
      </c>
      <c r="C302" s="189"/>
      <c r="D302" s="189">
        <v>3.85</v>
      </c>
      <c r="E302" s="189"/>
      <c r="F302" s="189">
        <v>4.9020000000000001</v>
      </c>
      <c r="G302" s="189"/>
      <c r="H302" s="201">
        <v>3.8540000000000001</v>
      </c>
      <c r="I302" s="219"/>
    </row>
    <row r="303" spans="2:9" x14ac:dyDescent="0.15">
      <c r="B303" s="200" t="s">
        <v>467</v>
      </c>
      <c r="C303" s="189"/>
      <c r="D303" s="189">
        <v>5.5439999999999996</v>
      </c>
      <c r="E303" s="189"/>
      <c r="F303" s="189">
        <v>7.0590000000000002</v>
      </c>
      <c r="G303" s="189"/>
      <c r="H303" s="201">
        <v>0</v>
      </c>
      <c r="I303" s="219"/>
    </row>
    <row r="304" spans="2:9" x14ac:dyDescent="0.15">
      <c r="B304" s="200" t="s">
        <v>468</v>
      </c>
      <c r="C304" s="189"/>
      <c r="D304" s="189">
        <v>0</v>
      </c>
      <c r="E304" s="189"/>
      <c r="F304" s="189">
        <v>0</v>
      </c>
      <c r="G304" s="189"/>
      <c r="H304" s="201">
        <v>6.3129999999999997</v>
      </c>
      <c r="I304" s="219"/>
    </row>
    <row r="305" spans="2:9" x14ac:dyDescent="0.15">
      <c r="B305" s="200" t="s">
        <v>469</v>
      </c>
      <c r="C305" s="189"/>
      <c r="D305" s="189">
        <v>0</v>
      </c>
      <c r="E305" s="189"/>
      <c r="F305" s="189">
        <v>9.6080000000000005</v>
      </c>
      <c r="G305" s="189"/>
      <c r="H305" s="201">
        <v>0</v>
      </c>
      <c r="I305" s="219"/>
    </row>
    <row r="306" spans="2:9" x14ac:dyDescent="0.15">
      <c r="B306" s="210" t="s">
        <v>470</v>
      </c>
      <c r="C306" s="212"/>
      <c r="D306" s="212">
        <v>0</v>
      </c>
      <c r="E306" s="212"/>
      <c r="F306" s="212">
        <v>0</v>
      </c>
      <c r="G306" s="212"/>
      <c r="H306" s="222">
        <v>9.8689999999999998</v>
      </c>
      <c r="I306" s="219"/>
    </row>
    <row r="307" spans="2:9" x14ac:dyDescent="0.15">
      <c r="B307" s="191"/>
      <c r="C307" s="205"/>
      <c r="D307" s="205"/>
      <c r="E307" s="205"/>
      <c r="F307" s="205"/>
      <c r="G307" s="205"/>
      <c r="H307" s="190"/>
      <c r="I307" s="219"/>
    </row>
    <row r="308" spans="2:9" ht="14.25" thickBot="1" x14ac:dyDescent="0.2">
      <c r="B308" s="185"/>
      <c r="C308" s="215"/>
      <c r="D308" s="223" t="s">
        <v>471</v>
      </c>
      <c r="E308" s="215"/>
      <c r="F308" s="215"/>
      <c r="G308" s="215"/>
      <c r="H308" s="187"/>
      <c r="I308" s="219"/>
    </row>
    <row r="309" spans="2:9" ht="14.25" thickTop="1" x14ac:dyDescent="0.15"/>
    <row r="311" spans="2:9" x14ac:dyDescent="0.15">
      <c r="B311" s="168" t="s">
        <v>472</v>
      </c>
      <c r="H311" s="168" t="s">
        <v>473</v>
      </c>
    </row>
    <row r="312" spans="2:9" x14ac:dyDescent="0.15">
      <c r="B312" s="168" t="s">
        <v>474</v>
      </c>
      <c r="H312" s="168" t="s">
        <v>475</v>
      </c>
    </row>
    <row r="313" spans="2:9" x14ac:dyDescent="0.15">
      <c r="B313" s="168" t="s">
        <v>476</v>
      </c>
      <c r="H313" s="168" t="s">
        <v>477</v>
      </c>
    </row>
    <row r="314" spans="2:9" x14ac:dyDescent="0.15">
      <c r="B314" s="168" t="s">
        <v>478</v>
      </c>
      <c r="H314" s="168" t="s">
        <v>479</v>
      </c>
    </row>
    <row r="315" spans="2:9" x14ac:dyDescent="0.15">
      <c r="B315" s="168" t="s">
        <v>480</v>
      </c>
      <c r="H315" s="168" t="s">
        <v>481</v>
      </c>
    </row>
    <row r="318" spans="2:9" x14ac:dyDescent="0.15">
      <c r="B318" s="172" t="s">
        <v>482</v>
      </c>
    </row>
    <row r="320" spans="2:9" x14ac:dyDescent="0.15">
      <c r="B320" s="168" t="s">
        <v>483</v>
      </c>
      <c r="H320" s="168" t="s">
        <v>484</v>
      </c>
    </row>
    <row r="321" spans="1:8" x14ac:dyDescent="0.15">
      <c r="B321" s="168" t="s">
        <v>485</v>
      </c>
      <c r="H321" s="168" t="s">
        <v>486</v>
      </c>
    </row>
    <row r="322" spans="1:8" x14ac:dyDescent="0.15">
      <c r="B322" s="168" t="s">
        <v>487</v>
      </c>
      <c r="H322" s="168" t="s">
        <v>488</v>
      </c>
    </row>
    <row r="324" spans="1:8" x14ac:dyDescent="0.15">
      <c r="B324" s="168" t="s">
        <v>489</v>
      </c>
    </row>
    <row r="329" spans="1:8" x14ac:dyDescent="0.15">
      <c r="D329" s="169" t="s">
        <v>152</v>
      </c>
    </row>
    <row r="331" spans="1:8" x14ac:dyDescent="0.15">
      <c r="D331" s="172" t="s">
        <v>490</v>
      </c>
    </row>
    <row r="332" spans="1:8" x14ac:dyDescent="0.15">
      <c r="A332" s="168" t="s">
        <v>491</v>
      </c>
    </row>
    <row r="333" spans="1:8" x14ac:dyDescent="0.15">
      <c r="A333" s="168" t="s">
        <v>492</v>
      </c>
    </row>
    <row r="335" spans="1:8" x14ac:dyDescent="0.15">
      <c r="A335" s="172" t="s">
        <v>493</v>
      </c>
    </row>
    <row r="337" spans="1:9" x14ac:dyDescent="0.15">
      <c r="A337" s="168" t="s">
        <v>494</v>
      </c>
      <c r="E337" s="168" t="s">
        <v>495</v>
      </c>
    </row>
    <row r="338" spans="1:9" x14ac:dyDescent="0.15">
      <c r="A338" s="168" t="s">
        <v>496</v>
      </c>
    </row>
    <row r="339" spans="1:9" x14ac:dyDescent="0.15">
      <c r="A339" s="224" t="s">
        <v>497</v>
      </c>
      <c r="I339" s="170">
        <f>1/0.00879</f>
        <v>113.76564277588169</v>
      </c>
    </row>
    <row r="341" spans="1:9" x14ac:dyDescent="0.15">
      <c r="A341" s="172" t="s">
        <v>498</v>
      </c>
      <c r="E341" s="225" t="s">
        <v>499</v>
      </c>
      <c r="F341" s="225" t="s">
        <v>500</v>
      </c>
      <c r="G341" s="225" t="s">
        <v>501</v>
      </c>
      <c r="H341" s="225" t="s">
        <v>502</v>
      </c>
      <c r="I341" s="226"/>
    </row>
    <row r="342" spans="1:9" x14ac:dyDescent="0.15">
      <c r="A342" s="168" t="s">
        <v>11</v>
      </c>
      <c r="E342" s="168" t="s">
        <v>503</v>
      </c>
      <c r="F342" s="168" t="s">
        <v>503</v>
      </c>
      <c r="G342" s="168" t="s">
        <v>503</v>
      </c>
      <c r="H342" s="168" t="s">
        <v>503</v>
      </c>
    </row>
    <row r="343" spans="1:9" x14ac:dyDescent="0.15">
      <c r="A343" s="168" t="s">
        <v>504</v>
      </c>
      <c r="E343" s="168" t="s">
        <v>505</v>
      </c>
      <c r="F343" s="168" t="s">
        <v>506</v>
      </c>
      <c r="G343" s="168" t="s">
        <v>507</v>
      </c>
      <c r="H343" s="168" t="s">
        <v>508</v>
      </c>
    </row>
    <row r="345" spans="1:9" x14ac:dyDescent="0.15">
      <c r="A345" s="172" t="s">
        <v>509</v>
      </c>
    </row>
    <row r="346" spans="1:9" x14ac:dyDescent="0.15">
      <c r="A346" s="168" t="s">
        <v>11</v>
      </c>
      <c r="E346" s="168" t="s">
        <v>510</v>
      </c>
      <c r="F346" s="168" t="s">
        <v>510</v>
      </c>
      <c r="G346" s="168" t="s">
        <v>510</v>
      </c>
      <c r="H346" s="168" t="s">
        <v>510</v>
      </c>
      <c r="I346" s="170">
        <f>1*I352*1.05</f>
        <v>5.4404145077720205</v>
      </c>
    </row>
    <row r="347" spans="1:9" x14ac:dyDescent="0.15">
      <c r="A347" s="168" t="s">
        <v>504</v>
      </c>
      <c r="E347" s="168" t="s">
        <v>511</v>
      </c>
      <c r="F347" s="168" t="s">
        <v>512</v>
      </c>
      <c r="G347" s="168" t="s">
        <v>513</v>
      </c>
      <c r="H347" s="168" t="s">
        <v>514</v>
      </c>
      <c r="I347" s="170">
        <f>6*0.034*I352</f>
        <v>1.0569948186528497</v>
      </c>
    </row>
    <row r="348" spans="1:9" x14ac:dyDescent="0.15">
      <c r="A348" s="168" t="s">
        <v>515</v>
      </c>
      <c r="E348" s="178">
        <v>0.23400000000000001</v>
      </c>
      <c r="F348" s="178">
        <v>0.29099999999999998</v>
      </c>
      <c r="G348" s="178">
        <v>0.376</v>
      </c>
      <c r="H348" s="178">
        <v>0.433</v>
      </c>
      <c r="I348" s="179"/>
    </row>
    <row r="349" spans="1:9" x14ac:dyDescent="0.15">
      <c r="A349" s="168" t="s">
        <v>516</v>
      </c>
      <c r="E349" s="227">
        <v>1.2E-2</v>
      </c>
      <c r="F349" s="227">
        <v>1.4999999999999999E-2</v>
      </c>
      <c r="G349" s="227">
        <v>1.9E-2</v>
      </c>
      <c r="H349" s="227">
        <v>2.1999999999999999E-2</v>
      </c>
      <c r="I349" s="228"/>
    </row>
    <row r="350" spans="1:9" x14ac:dyDescent="0.15">
      <c r="E350" s="178">
        <v>0.222</v>
      </c>
      <c r="F350" s="178">
        <v>0.27600000000000002</v>
      </c>
      <c r="G350" s="178">
        <v>0.35699999999999998</v>
      </c>
      <c r="H350" s="178">
        <v>0.41099999999999998</v>
      </c>
      <c r="I350" s="179"/>
    </row>
    <row r="352" spans="1:9" x14ac:dyDescent="0.15">
      <c r="A352" s="168" t="s">
        <v>517</v>
      </c>
      <c r="E352" s="168" t="s">
        <v>518</v>
      </c>
      <c r="F352" s="168" t="s">
        <v>519</v>
      </c>
      <c r="G352" s="168" t="s">
        <v>520</v>
      </c>
      <c r="H352" s="168" t="s">
        <v>521</v>
      </c>
      <c r="I352" s="170">
        <f>1/0.193</f>
        <v>5.1813471502590671</v>
      </c>
    </row>
    <row r="355" spans="1:9" x14ac:dyDescent="0.15">
      <c r="A355" s="168" t="s">
        <v>610</v>
      </c>
      <c r="E355" s="168">
        <v>2870</v>
      </c>
    </row>
    <row r="357" spans="1:9" x14ac:dyDescent="0.15">
      <c r="A357" s="172" t="s">
        <v>310</v>
      </c>
      <c r="B357" s="168" t="s">
        <v>522</v>
      </c>
    </row>
    <row r="358" spans="1:9" x14ac:dyDescent="0.15">
      <c r="A358" s="168" t="s">
        <v>523</v>
      </c>
      <c r="E358" s="168">
        <v>8</v>
      </c>
      <c r="F358" s="168">
        <v>12</v>
      </c>
      <c r="G358" s="168">
        <v>1</v>
      </c>
      <c r="H358" s="170">
        <v>2.5</v>
      </c>
      <c r="I358" s="170">
        <f>+H358*G358*F358*E358</f>
        <v>240</v>
      </c>
    </row>
    <row r="359" spans="1:9" x14ac:dyDescent="0.15">
      <c r="A359" s="168" t="s">
        <v>524</v>
      </c>
      <c r="E359" s="168">
        <v>8</v>
      </c>
      <c r="F359" s="168">
        <v>12</v>
      </c>
      <c r="G359" s="168">
        <v>6</v>
      </c>
      <c r="H359" s="170">
        <v>1.59</v>
      </c>
      <c r="I359" s="229">
        <f>+H359*G359*F359*E359</f>
        <v>915.84000000000015</v>
      </c>
    </row>
    <row r="360" spans="1:9" x14ac:dyDescent="0.15">
      <c r="A360" s="172"/>
    </row>
    <row r="361" spans="1:9" x14ac:dyDescent="0.15">
      <c r="A361" s="172" t="s">
        <v>525</v>
      </c>
    </row>
    <row r="362" spans="1:9" x14ac:dyDescent="0.15">
      <c r="A362" s="168" t="s">
        <v>526</v>
      </c>
      <c r="E362" s="168">
        <v>4.33</v>
      </c>
      <c r="F362" s="168">
        <v>0.5</v>
      </c>
      <c r="H362" s="170">
        <v>200</v>
      </c>
      <c r="I362" s="170">
        <f>+H362*E362*F362</f>
        <v>433</v>
      </c>
    </row>
    <row r="363" spans="1:9" x14ac:dyDescent="0.15">
      <c r="A363" s="172" t="s">
        <v>527</v>
      </c>
    </row>
    <row r="365" spans="1:9" x14ac:dyDescent="0.15">
      <c r="A365" s="168" t="s">
        <v>528</v>
      </c>
      <c r="G365" s="230">
        <v>0.05</v>
      </c>
    </row>
    <row r="366" spans="1:9" x14ac:dyDescent="0.15">
      <c r="A366" s="168" t="s">
        <v>529</v>
      </c>
    </row>
    <row r="367" spans="1:9" x14ac:dyDescent="0.15">
      <c r="A367" s="172"/>
    </row>
    <row r="368" spans="1:9" x14ac:dyDescent="0.15">
      <c r="A368" s="172" t="s">
        <v>530</v>
      </c>
    </row>
    <row r="369" spans="1:9" x14ac:dyDescent="0.15">
      <c r="A369" s="172"/>
    </row>
    <row r="370" spans="1:9" x14ac:dyDescent="0.15">
      <c r="D370" s="172" t="s">
        <v>531</v>
      </c>
    </row>
    <row r="372" spans="1:9" x14ac:dyDescent="0.15">
      <c r="E372" s="225" t="s">
        <v>499</v>
      </c>
      <c r="F372" s="225" t="s">
        <v>500</v>
      </c>
      <c r="G372" s="225" t="s">
        <v>501</v>
      </c>
      <c r="H372" s="225" t="s">
        <v>532</v>
      </c>
      <c r="I372" s="226"/>
    </row>
    <row r="373" spans="1:9" x14ac:dyDescent="0.15">
      <c r="A373" s="168" t="s">
        <v>533</v>
      </c>
      <c r="E373" s="178">
        <v>23</v>
      </c>
      <c r="F373" s="178">
        <v>29</v>
      </c>
      <c r="G373" s="178">
        <v>37</v>
      </c>
      <c r="H373" s="178">
        <v>43</v>
      </c>
      <c r="I373" s="179"/>
    </row>
    <row r="374" spans="1:9" x14ac:dyDescent="0.15">
      <c r="A374" s="168" t="s">
        <v>534</v>
      </c>
      <c r="E374" s="178">
        <v>14</v>
      </c>
      <c r="F374" s="178">
        <v>18</v>
      </c>
      <c r="G374" s="178">
        <v>23</v>
      </c>
      <c r="H374" s="178">
        <v>27</v>
      </c>
      <c r="I374" s="179"/>
    </row>
    <row r="375" spans="1:9" x14ac:dyDescent="0.15">
      <c r="A375" s="168" t="s">
        <v>535</v>
      </c>
      <c r="E375" s="178">
        <v>17</v>
      </c>
      <c r="F375" s="178">
        <v>22</v>
      </c>
      <c r="G375" s="178">
        <v>28</v>
      </c>
      <c r="H375" s="178">
        <v>32</v>
      </c>
      <c r="I375" s="179"/>
    </row>
    <row r="377" spans="1:9" x14ac:dyDescent="0.15">
      <c r="A377" s="168" t="s">
        <v>536</v>
      </c>
    </row>
    <row r="378" spans="1:9" x14ac:dyDescent="0.15">
      <c r="A378" s="168" t="s">
        <v>537</v>
      </c>
    </row>
    <row r="380" spans="1:9" x14ac:dyDescent="0.15">
      <c r="D380" s="172" t="s">
        <v>538</v>
      </c>
    </row>
    <row r="382" spans="1:9" x14ac:dyDescent="0.15">
      <c r="A382" s="168" t="s">
        <v>146</v>
      </c>
      <c r="E382" s="168" t="s">
        <v>539</v>
      </c>
      <c r="H382" s="168" t="s">
        <v>540</v>
      </c>
    </row>
    <row r="383" spans="1:9" x14ac:dyDescent="0.15">
      <c r="A383" s="168" t="s">
        <v>541</v>
      </c>
      <c r="E383" s="168" t="s">
        <v>384</v>
      </c>
      <c r="H383" s="168" t="s">
        <v>542</v>
      </c>
    </row>
    <row r="384" spans="1:9" x14ac:dyDescent="0.15">
      <c r="A384" s="168" t="s">
        <v>543</v>
      </c>
      <c r="E384" s="168" t="s">
        <v>364</v>
      </c>
      <c r="H384" s="168" t="s">
        <v>344</v>
      </c>
    </row>
    <row r="385" spans="1:8" x14ac:dyDescent="0.15">
      <c r="A385" s="168" t="s">
        <v>544</v>
      </c>
      <c r="E385" s="168" t="s">
        <v>539</v>
      </c>
      <c r="H385" s="168" t="s">
        <v>545</v>
      </c>
    </row>
    <row r="386" spans="1:8" x14ac:dyDescent="0.15">
      <c r="A386" s="168" t="s">
        <v>546</v>
      </c>
      <c r="E386" s="168" t="s">
        <v>364</v>
      </c>
      <c r="H386" s="168" t="s">
        <v>547</v>
      </c>
    </row>
    <row r="388" spans="1:8" x14ac:dyDescent="0.15">
      <c r="A388" s="172" t="s">
        <v>548</v>
      </c>
    </row>
    <row r="389" spans="1:8" x14ac:dyDescent="0.15">
      <c r="A389" s="168" t="s">
        <v>549</v>
      </c>
      <c r="E389" s="168" t="s">
        <v>364</v>
      </c>
      <c r="H389" s="168" t="s">
        <v>550</v>
      </c>
    </row>
    <row r="390" spans="1:8" x14ac:dyDescent="0.15">
      <c r="A390" s="168" t="s">
        <v>551</v>
      </c>
      <c r="E390" s="168" t="s">
        <v>364</v>
      </c>
      <c r="H390" s="168" t="s">
        <v>552</v>
      </c>
    </row>
    <row r="391" spans="1:8" x14ac:dyDescent="0.15">
      <c r="A391" s="168" t="s">
        <v>553</v>
      </c>
      <c r="E391" s="168" t="s">
        <v>539</v>
      </c>
      <c r="H391" s="168" t="s">
        <v>554</v>
      </c>
    </row>
    <row r="392" spans="1:8" x14ac:dyDescent="0.15">
      <c r="A392" s="168" t="s">
        <v>555</v>
      </c>
      <c r="E392" s="168" t="s">
        <v>364</v>
      </c>
      <c r="H392" s="168" t="s">
        <v>556</v>
      </c>
    </row>
    <row r="393" spans="1:8" x14ac:dyDescent="0.15">
      <c r="A393" s="168" t="s">
        <v>557</v>
      </c>
      <c r="E393" s="168" t="s">
        <v>364</v>
      </c>
      <c r="H393" s="168" t="s">
        <v>558</v>
      </c>
    </row>
    <row r="394" spans="1:8" x14ac:dyDescent="0.15">
      <c r="A394" s="168" t="s">
        <v>559</v>
      </c>
      <c r="E394" s="168" t="s">
        <v>364</v>
      </c>
      <c r="H394" s="168" t="s">
        <v>556</v>
      </c>
    </row>
    <row r="398" spans="1:8" x14ac:dyDescent="0.15">
      <c r="D398" s="169" t="s">
        <v>152</v>
      </c>
    </row>
    <row r="400" spans="1:8" x14ac:dyDescent="0.15">
      <c r="A400" s="172" t="s">
        <v>548</v>
      </c>
    </row>
    <row r="403" spans="1:8" x14ac:dyDescent="0.15">
      <c r="A403" s="172" t="s">
        <v>560</v>
      </c>
    </row>
    <row r="404" spans="1:8" x14ac:dyDescent="0.15">
      <c r="A404" s="168" t="s">
        <v>561</v>
      </c>
      <c r="E404" s="168" t="s">
        <v>364</v>
      </c>
      <c r="H404" s="168" t="s">
        <v>562</v>
      </c>
    </row>
    <row r="405" spans="1:8" x14ac:dyDescent="0.15">
      <c r="A405" s="168" t="s">
        <v>563</v>
      </c>
      <c r="E405" s="168" t="s">
        <v>381</v>
      </c>
      <c r="H405" s="168" t="s">
        <v>341</v>
      </c>
    </row>
    <row r="406" spans="1:8" x14ac:dyDescent="0.15">
      <c r="A406" s="168" t="s">
        <v>564</v>
      </c>
      <c r="E406" s="168" t="s">
        <v>364</v>
      </c>
      <c r="H406" s="168" t="s">
        <v>550</v>
      </c>
    </row>
    <row r="407" spans="1:8" x14ac:dyDescent="0.15">
      <c r="A407" s="168" t="s">
        <v>565</v>
      </c>
      <c r="E407" s="168" t="s">
        <v>364</v>
      </c>
      <c r="H407" s="168" t="s">
        <v>558</v>
      </c>
    </row>
    <row r="408" spans="1:8" x14ac:dyDescent="0.15">
      <c r="A408" s="168" t="s">
        <v>566</v>
      </c>
      <c r="E408" s="168" t="s">
        <v>364</v>
      </c>
      <c r="H408" s="168" t="s">
        <v>567</v>
      </c>
    </row>
    <row r="409" spans="1:8" x14ac:dyDescent="0.15">
      <c r="A409" s="168" t="s">
        <v>568</v>
      </c>
      <c r="E409" s="168" t="s">
        <v>384</v>
      </c>
      <c r="H409" s="168" t="s">
        <v>569</v>
      </c>
    </row>
    <row r="410" spans="1:8" x14ac:dyDescent="0.15">
      <c r="A410" s="168" t="s">
        <v>570</v>
      </c>
      <c r="E410" s="168" t="s">
        <v>384</v>
      </c>
      <c r="H410" s="168" t="s">
        <v>571</v>
      </c>
    </row>
    <row r="411" spans="1:8" x14ac:dyDescent="0.15">
      <c r="A411" s="168" t="s">
        <v>572</v>
      </c>
      <c r="E411" s="168" t="s">
        <v>384</v>
      </c>
      <c r="H411" s="168" t="s">
        <v>569</v>
      </c>
    </row>
    <row r="412" spans="1:8" x14ac:dyDescent="0.15">
      <c r="A412" s="168" t="s">
        <v>573</v>
      </c>
      <c r="E412" s="168" t="s">
        <v>364</v>
      </c>
      <c r="H412" s="168" t="s">
        <v>574</v>
      </c>
    </row>
    <row r="413" spans="1:8" x14ac:dyDescent="0.15">
      <c r="A413" s="168" t="s">
        <v>575</v>
      </c>
      <c r="E413" s="168" t="s">
        <v>384</v>
      </c>
      <c r="H413" s="168" t="s">
        <v>576</v>
      </c>
    </row>
    <row r="414" spans="1:8" x14ac:dyDescent="0.15">
      <c r="A414" s="168" t="s">
        <v>577</v>
      </c>
      <c r="E414" s="168" t="s">
        <v>384</v>
      </c>
      <c r="H414" s="168" t="s">
        <v>578</v>
      </c>
    </row>
    <row r="416" spans="1:8" x14ac:dyDescent="0.15">
      <c r="A416" s="172" t="s">
        <v>579</v>
      </c>
    </row>
    <row r="417" spans="1:9" x14ac:dyDescent="0.15">
      <c r="A417" s="168" t="s">
        <v>580</v>
      </c>
      <c r="E417" s="168" t="s">
        <v>384</v>
      </c>
      <c r="H417" s="168" t="s">
        <v>581</v>
      </c>
    </row>
    <row r="418" spans="1:9" x14ac:dyDescent="0.15">
      <c r="A418" s="168" t="s">
        <v>582</v>
      </c>
      <c r="E418" s="180">
        <v>1</v>
      </c>
      <c r="H418" s="168" t="s">
        <v>583</v>
      </c>
    </row>
    <row r="419" spans="1:9" x14ac:dyDescent="0.15">
      <c r="A419" s="168" t="s">
        <v>584</v>
      </c>
      <c r="E419" s="168" t="s">
        <v>585</v>
      </c>
    </row>
    <row r="420" spans="1:9" x14ac:dyDescent="0.15">
      <c r="A420" s="168" t="s">
        <v>586</v>
      </c>
      <c r="E420" s="168" t="s">
        <v>384</v>
      </c>
      <c r="H420" s="168" t="s">
        <v>587</v>
      </c>
    </row>
    <row r="422" spans="1:9" x14ac:dyDescent="0.15">
      <c r="B422" s="231"/>
      <c r="C422" s="231"/>
      <c r="D422" s="231"/>
      <c r="E422" s="231"/>
      <c r="F422" s="231"/>
      <c r="G422" s="231"/>
      <c r="H422" s="231"/>
      <c r="I422" s="219"/>
    </row>
    <row r="424" spans="1:9" x14ac:dyDescent="0.15">
      <c r="B424" s="168" t="s">
        <v>588</v>
      </c>
      <c r="H424" s="168" t="s">
        <v>589</v>
      </c>
    </row>
    <row r="425" spans="1:9" x14ac:dyDescent="0.15">
      <c r="B425" s="168" t="s">
        <v>590</v>
      </c>
      <c r="H425" s="168" t="s">
        <v>591</v>
      </c>
    </row>
    <row r="426" spans="1:9" x14ac:dyDescent="0.15">
      <c r="E426" s="225" t="s">
        <v>592</v>
      </c>
    </row>
    <row r="427" spans="1:9" x14ac:dyDescent="0.15">
      <c r="B427" s="168" t="s">
        <v>593</v>
      </c>
      <c r="H427" s="168" t="s">
        <v>594</v>
      </c>
    </row>
    <row r="428" spans="1:9" x14ac:dyDescent="0.15">
      <c r="B428" s="168" t="s">
        <v>595</v>
      </c>
      <c r="H428" s="168" t="s">
        <v>596</v>
      </c>
    </row>
    <row r="430" spans="1:9" x14ac:dyDescent="0.15">
      <c r="B430" s="168" t="s">
        <v>597</v>
      </c>
      <c r="H430" s="168" t="s">
        <v>598</v>
      </c>
    </row>
    <row r="442" spans="2:8" x14ac:dyDescent="0.15">
      <c r="D442" s="169" t="s">
        <v>152</v>
      </c>
    </row>
    <row r="444" spans="2:8" x14ac:dyDescent="0.15">
      <c r="B444" s="168" t="s">
        <v>599</v>
      </c>
      <c r="H444" s="168" t="s">
        <v>600</v>
      </c>
    </row>
    <row r="445" spans="2:8" x14ac:dyDescent="0.15">
      <c r="B445" s="168" t="s">
        <v>601</v>
      </c>
      <c r="H445" s="168" t="s">
        <v>503</v>
      </c>
    </row>
    <row r="447" spans="2:8" x14ac:dyDescent="0.15">
      <c r="E447" s="172" t="s">
        <v>150</v>
      </c>
    </row>
    <row r="449" spans="3:6" x14ac:dyDescent="0.15">
      <c r="D449" s="176" t="s">
        <v>602</v>
      </c>
      <c r="E449" s="168" t="s">
        <v>603</v>
      </c>
      <c r="F449" s="168" t="s">
        <v>604</v>
      </c>
    </row>
    <row r="450" spans="3:6" x14ac:dyDescent="0.15">
      <c r="D450" s="232" t="s">
        <v>605</v>
      </c>
    </row>
    <row r="452" spans="3:6" x14ac:dyDescent="0.15">
      <c r="C452" s="168" t="s">
        <v>606</v>
      </c>
    </row>
    <row r="453" spans="3:6" x14ac:dyDescent="0.15">
      <c r="C453" s="168" t="s">
        <v>607</v>
      </c>
    </row>
    <row r="454" spans="3:6" x14ac:dyDescent="0.15">
      <c r="C454" s="168" t="s">
        <v>608</v>
      </c>
    </row>
    <row r="455" spans="3:6" x14ac:dyDescent="0.15">
      <c r="C455" s="168" t="s">
        <v>609</v>
      </c>
    </row>
  </sheetData>
  <pageMargins left="0.7" right="0.7" top="0.75" bottom="0.75" header="0.3" footer="0.3"/>
  <pageSetup paperSize="9" scale="87" orientation="portrait" horizontalDpi="360" verticalDpi="360" r:id="rId1"/>
  <rowBreaks count="6" manualBreakCount="6">
    <brk id="53" max="16383" man="1"/>
    <brk id="106" max="16383" man="1"/>
    <brk id="160" max="16383" man="1"/>
    <brk id="215" max="16383" man="1"/>
    <brk id="270" max="16383" man="1"/>
    <brk id="379"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2"/>
  <sheetViews>
    <sheetView view="pageBreakPreview" topLeftCell="B69" zoomScaleNormal="100" zoomScaleSheetLayoutView="100" workbookViewId="0">
      <selection activeCell="D21" sqref="D21"/>
    </sheetView>
  </sheetViews>
  <sheetFormatPr defaultRowHeight="12.75" x14ac:dyDescent="0.15"/>
  <cols>
    <col min="1" max="1" width="2.01953125" customWidth="1"/>
    <col min="2" max="2" width="21.7109375" style="120" customWidth="1"/>
    <col min="3" max="3" width="16.98828125" style="2" customWidth="1"/>
    <col min="4" max="4" width="11.59375" style="2" customWidth="1"/>
    <col min="5" max="5" width="13.484375" style="127" customWidth="1"/>
    <col min="6" max="6" width="6.60546875" style="92" customWidth="1"/>
    <col min="7" max="7" width="2.15625" style="122" customWidth="1"/>
    <col min="9" max="9" width="11.19140625" bestFit="1" customWidth="1"/>
  </cols>
  <sheetData>
    <row r="1" spans="1:6" x14ac:dyDescent="0.15">
      <c r="A1" s="122"/>
      <c r="B1" s="162" t="s">
        <v>65</v>
      </c>
      <c r="C1" s="146"/>
      <c r="D1" s="163"/>
      <c r="E1" s="146"/>
      <c r="F1" s="122"/>
    </row>
    <row r="2" spans="1:6" x14ac:dyDescent="0.15">
      <c r="A2" s="122"/>
      <c r="B2" s="124"/>
    </row>
    <row r="3" spans="1:6" x14ac:dyDescent="0.15">
      <c r="A3" s="122"/>
      <c r="B3" s="234" t="s">
        <v>66</v>
      </c>
      <c r="C3"/>
      <c r="E3" s="159"/>
    </row>
    <row r="4" spans="1:6" x14ac:dyDescent="0.15">
      <c r="A4" s="122"/>
      <c r="C4" s="233" t="s">
        <v>67</v>
      </c>
    </row>
    <row r="5" spans="1:6" x14ac:dyDescent="0.15">
      <c r="A5" s="122"/>
      <c r="B5" s="125" t="s">
        <v>68</v>
      </c>
      <c r="C5"/>
    </row>
    <row r="6" spans="1:6" ht="15" x14ac:dyDescent="0.15">
      <c r="A6" s="122"/>
      <c r="B6" s="126" t="s">
        <v>69</v>
      </c>
      <c r="C6" s="1" t="s">
        <v>70</v>
      </c>
      <c r="D6" s="143">
        <v>1</v>
      </c>
    </row>
    <row r="7" spans="1:6" x14ac:dyDescent="0.15">
      <c r="A7" s="122" t="s">
        <v>859</v>
      </c>
      <c r="B7" s="128"/>
      <c r="C7" s="129"/>
      <c r="D7" s="2" t="s">
        <v>2</v>
      </c>
      <c r="E7" s="127">
        <f>+D6*0.75*1.05</f>
        <v>0.78750000000000009</v>
      </c>
    </row>
    <row r="8" spans="1:6" x14ac:dyDescent="0.15">
      <c r="A8" s="122"/>
      <c r="B8" s="128"/>
      <c r="C8" s="129"/>
      <c r="D8" s="2" t="s">
        <v>1</v>
      </c>
      <c r="E8" s="127">
        <f>+D6*4.25*1.05</f>
        <v>4.4625000000000004</v>
      </c>
    </row>
    <row r="9" spans="1:6" x14ac:dyDescent="0.15">
      <c r="A9" s="122"/>
      <c r="B9" s="128"/>
      <c r="C9" s="129"/>
      <c r="D9" s="2" t="s">
        <v>4</v>
      </c>
      <c r="E9" s="127">
        <f>+D6*0.81*1.05</f>
        <v>0.85050000000000014</v>
      </c>
    </row>
    <row r="10" spans="1:6" x14ac:dyDescent="0.15">
      <c r="A10" s="122"/>
      <c r="B10" s="128"/>
      <c r="C10" s="129"/>
    </row>
    <row r="11" spans="1:6" ht="15" x14ac:dyDescent="0.15">
      <c r="A11" s="122"/>
      <c r="B11" s="126" t="s">
        <v>71</v>
      </c>
      <c r="C11" s="1" t="s">
        <v>70</v>
      </c>
      <c r="D11" s="143">
        <v>1</v>
      </c>
    </row>
    <row r="12" spans="1:6" x14ac:dyDescent="0.15">
      <c r="A12" s="122"/>
      <c r="B12" s="128"/>
      <c r="C12" s="129"/>
      <c r="D12" s="2" t="s">
        <v>2</v>
      </c>
      <c r="E12" s="127">
        <f>+D11*0.68*1.05</f>
        <v>0.71400000000000008</v>
      </c>
    </row>
    <row r="13" spans="1:6" x14ac:dyDescent="0.15">
      <c r="A13" s="122"/>
      <c r="B13" s="128"/>
      <c r="C13" s="129"/>
      <c r="D13" s="2" t="s">
        <v>1</v>
      </c>
      <c r="E13" s="127">
        <f>+D11*6.8*1.05</f>
        <v>7.14</v>
      </c>
    </row>
    <row r="14" spans="1:6" x14ac:dyDescent="0.15">
      <c r="A14" s="122"/>
      <c r="B14" s="128"/>
      <c r="C14" s="129"/>
      <c r="D14" s="2" t="s">
        <v>4</v>
      </c>
      <c r="E14" s="127">
        <f>+D11*0.84*1.05</f>
        <v>0.88200000000000001</v>
      </c>
    </row>
    <row r="15" spans="1:6" x14ac:dyDescent="0.15">
      <c r="A15" s="122"/>
      <c r="B15" s="128"/>
    </row>
    <row r="16" spans="1:6" ht="15" x14ac:dyDescent="0.15">
      <c r="A16" s="122"/>
      <c r="B16" s="126" t="s">
        <v>72</v>
      </c>
      <c r="C16" s="1" t="s">
        <v>70</v>
      </c>
      <c r="D16" s="143">
        <v>1</v>
      </c>
    </row>
    <row r="17" spans="1:5" x14ac:dyDescent="0.15">
      <c r="A17" s="122"/>
      <c r="B17" s="128"/>
      <c r="C17" s="129"/>
      <c r="D17" s="2" t="s">
        <v>2</v>
      </c>
      <c r="E17" s="127">
        <f>+D16*0.68*1.05</f>
        <v>0.71400000000000008</v>
      </c>
    </row>
    <row r="18" spans="1:5" x14ac:dyDescent="0.15">
      <c r="A18" s="122"/>
      <c r="B18" s="128"/>
      <c r="C18" s="129"/>
      <c r="D18" s="2" t="s">
        <v>1</v>
      </c>
      <c r="E18" s="127">
        <f>+D16*5.7*1.05</f>
        <v>5.9850000000000003</v>
      </c>
    </row>
    <row r="19" spans="1:5" x14ac:dyDescent="0.15">
      <c r="A19" s="122"/>
      <c r="B19" s="128"/>
      <c r="C19" s="129"/>
      <c r="D19" s="2" t="s">
        <v>4</v>
      </c>
      <c r="E19" s="127">
        <f>+D16*0.84*1.05</f>
        <v>0.88200000000000001</v>
      </c>
    </row>
    <row r="20" spans="1:5" x14ac:dyDescent="0.15">
      <c r="A20" s="122"/>
      <c r="B20" s="128"/>
    </row>
    <row r="21" spans="1:5" x14ac:dyDescent="0.15">
      <c r="A21" s="122"/>
      <c r="B21" s="126" t="s">
        <v>73</v>
      </c>
      <c r="C21" s="1" t="s">
        <v>21</v>
      </c>
      <c r="D21" s="143">
        <v>1</v>
      </c>
    </row>
    <row r="22" spans="1:5" x14ac:dyDescent="0.15">
      <c r="A22" s="122"/>
      <c r="B22" s="128"/>
      <c r="C22" s="129"/>
      <c r="D22" s="2" t="s">
        <v>2</v>
      </c>
      <c r="E22" s="127">
        <f>+D21*0.67*1.05</f>
        <v>0.70350000000000013</v>
      </c>
    </row>
    <row r="23" spans="1:5" x14ac:dyDescent="0.15">
      <c r="A23" s="122"/>
      <c r="B23" s="128"/>
      <c r="C23" s="129"/>
      <c r="D23" s="2" t="s">
        <v>1</v>
      </c>
      <c r="E23" s="127">
        <f>+D21*8.45*1.05</f>
        <v>8.8725000000000005</v>
      </c>
    </row>
    <row r="24" spans="1:5" x14ac:dyDescent="0.15">
      <c r="A24" s="122"/>
      <c r="B24" s="128"/>
      <c r="C24" s="129"/>
      <c r="D24" s="2" t="s">
        <v>4</v>
      </c>
      <c r="E24" s="127">
        <f>+D21*0.86*1.05</f>
        <v>0.90300000000000002</v>
      </c>
    </row>
    <row r="25" spans="1:5" x14ac:dyDescent="0.15">
      <c r="A25" s="122"/>
      <c r="B25" s="128"/>
      <c r="C25" s="129"/>
    </row>
    <row r="26" spans="1:5" x14ac:dyDescent="0.15">
      <c r="A26" s="122"/>
      <c r="B26" s="126" t="s">
        <v>74</v>
      </c>
      <c r="C26" s="1" t="s">
        <v>21</v>
      </c>
      <c r="D26" s="143">
        <v>1</v>
      </c>
    </row>
    <row r="27" spans="1:5" x14ac:dyDescent="0.15">
      <c r="A27" s="122"/>
      <c r="B27" s="128"/>
      <c r="C27" s="129"/>
      <c r="D27" s="2" t="s">
        <v>2</v>
      </c>
      <c r="E27" s="127">
        <f>+D26*0.68*1.05</f>
        <v>0.71400000000000008</v>
      </c>
    </row>
    <row r="28" spans="1:5" x14ac:dyDescent="0.15">
      <c r="A28" s="122"/>
      <c r="B28" s="128"/>
      <c r="C28" s="129"/>
      <c r="D28" s="2" t="s">
        <v>1</v>
      </c>
      <c r="E28" s="127">
        <f>+D26*6.2*1.05</f>
        <v>6.5100000000000007</v>
      </c>
    </row>
    <row r="29" spans="1:5" x14ac:dyDescent="0.15">
      <c r="A29" s="122"/>
      <c r="B29" s="128"/>
      <c r="C29" s="129"/>
      <c r="D29" s="2" t="s">
        <v>4</v>
      </c>
      <c r="E29" s="127">
        <f>+D26*0.86*1.05</f>
        <v>0.90300000000000002</v>
      </c>
    </row>
    <row r="30" spans="1:5" x14ac:dyDescent="0.15">
      <c r="A30" s="122"/>
    </row>
    <row r="31" spans="1:5" ht="15" x14ac:dyDescent="0.15">
      <c r="A31" s="122"/>
      <c r="B31" s="126" t="s">
        <v>75</v>
      </c>
      <c r="C31" s="1" t="s">
        <v>70</v>
      </c>
      <c r="D31" s="143">
        <v>1</v>
      </c>
    </row>
    <row r="32" spans="1:5" x14ac:dyDescent="0.15">
      <c r="A32" s="122"/>
      <c r="B32" s="128"/>
      <c r="C32" s="129"/>
      <c r="D32" s="2" t="s">
        <v>2</v>
      </c>
      <c r="E32" s="127">
        <f>+D31*0.59*1.05</f>
        <v>0.61949999999999994</v>
      </c>
    </row>
    <row r="33" spans="1:11" x14ac:dyDescent="0.15">
      <c r="A33" s="122"/>
      <c r="B33" s="128"/>
      <c r="C33" s="129"/>
      <c r="D33" s="2" t="s">
        <v>1</v>
      </c>
      <c r="E33" s="127">
        <f>+D31*7.2*1.05</f>
        <v>7.5600000000000005</v>
      </c>
    </row>
    <row r="34" spans="1:11" x14ac:dyDescent="0.15">
      <c r="A34" s="122"/>
      <c r="B34" s="128"/>
      <c r="C34" s="129"/>
      <c r="D34" s="2" t="s">
        <v>4</v>
      </c>
      <c r="E34" s="127">
        <f>+D31*0.87*1.05</f>
        <v>0.91349999999999998</v>
      </c>
    </row>
    <row r="35" spans="1:11" x14ac:dyDescent="0.15">
      <c r="A35" s="122"/>
    </row>
    <row r="36" spans="1:11" x14ac:dyDescent="0.15">
      <c r="A36" s="122"/>
    </row>
    <row r="37" spans="1:11" x14ac:dyDescent="0.15">
      <c r="A37" s="122"/>
      <c r="B37" s="125" t="s">
        <v>76</v>
      </c>
      <c r="C37" s="113"/>
    </row>
    <row r="38" spans="1:11" ht="15" x14ac:dyDescent="0.15">
      <c r="A38" s="122"/>
      <c r="B38" s="125"/>
      <c r="C38" s="113" t="s">
        <v>77</v>
      </c>
      <c r="D38" s="143">
        <v>1</v>
      </c>
    </row>
    <row r="39" spans="1:11" x14ac:dyDescent="0.15">
      <c r="A39" s="122"/>
      <c r="D39" s="2" t="s">
        <v>78</v>
      </c>
      <c r="E39" s="127">
        <f>+D38/1.5</f>
        <v>0.66666666666666663</v>
      </c>
    </row>
    <row r="40" spans="1:11" x14ac:dyDescent="0.15">
      <c r="A40" s="122"/>
    </row>
    <row r="41" spans="1:11" x14ac:dyDescent="0.15">
      <c r="A41" s="122"/>
      <c r="B41" s="125" t="s">
        <v>79</v>
      </c>
      <c r="C41" s="113"/>
      <c r="D41" s="113"/>
      <c r="E41" s="130"/>
      <c r="F41" s="151"/>
      <c r="G41" s="131"/>
      <c r="H41" s="1"/>
      <c r="I41" s="1"/>
      <c r="J41" s="1"/>
      <c r="K41" s="1"/>
    </row>
    <row r="42" spans="1:11" ht="15" x14ac:dyDescent="0.15">
      <c r="A42" s="122"/>
      <c r="B42" s="125"/>
      <c r="C42" s="113" t="s">
        <v>77</v>
      </c>
      <c r="D42" s="143">
        <v>1</v>
      </c>
      <c r="E42" s="130"/>
      <c r="F42" s="151"/>
      <c r="G42" s="131"/>
      <c r="H42" s="1"/>
      <c r="I42" s="1"/>
      <c r="J42" s="1"/>
      <c r="K42" s="1"/>
    </row>
    <row r="43" spans="1:11" x14ac:dyDescent="0.15">
      <c r="A43" s="122"/>
      <c r="D43" s="2" t="s">
        <v>80</v>
      </c>
      <c r="E43" s="127">
        <f>+D42/14.4</f>
        <v>6.9444444444444448E-2</v>
      </c>
    </row>
    <row r="44" spans="1:11" x14ac:dyDescent="0.15">
      <c r="A44" s="122"/>
    </row>
    <row r="45" spans="1:11" x14ac:dyDescent="0.15">
      <c r="A45" s="122"/>
      <c r="B45" s="125" t="s">
        <v>81</v>
      </c>
      <c r="C45" s="113"/>
      <c r="D45" s="113"/>
      <c r="E45" s="130"/>
      <c r="F45" s="151"/>
      <c r="G45" s="131"/>
      <c r="H45" s="1"/>
      <c r="I45" s="1"/>
      <c r="J45" s="1"/>
      <c r="K45" s="1"/>
    </row>
    <row r="46" spans="1:11" ht="15" x14ac:dyDescent="0.15">
      <c r="A46" s="122"/>
      <c r="B46" s="125"/>
      <c r="C46" s="113" t="s">
        <v>70</v>
      </c>
      <c r="D46" s="143">
        <v>1</v>
      </c>
      <c r="E46" s="130">
        <f>D46</f>
        <v>1</v>
      </c>
      <c r="F46" s="151"/>
      <c r="G46" s="131"/>
      <c r="H46" s="1"/>
      <c r="I46" s="1"/>
      <c r="J46" s="1"/>
      <c r="K46" s="1"/>
    </row>
    <row r="47" spans="1:11" x14ac:dyDescent="0.15">
      <c r="A47" s="122"/>
      <c r="B47" s="125"/>
      <c r="C47" s="113"/>
      <c r="D47" s="113"/>
      <c r="E47" s="130"/>
      <c r="F47" s="151"/>
      <c r="G47" s="131"/>
      <c r="H47" s="1"/>
      <c r="I47" s="1"/>
      <c r="J47" s="1"/>
      <c r="K47" s="1"/>
    </row>
    <row r="48" spans="1:11" x14ac:dyDescent="0.15">
      <c r="A48" s="122"/>
      <c r="B48" s="125"/>
      <c r="C48" s="113"/>
      <c r="D48" s="113"/>
      <c r="E48" s="130"/>
      <c r="F48" s="151"/>
      <c r="G48" s="131"/>
      <c r="H48" s="1"/>
      <c r="I48" s="1"/>
      <c r="J48" s="1"/>
      <c r="K48" s="1"/>
    </row>
    <row r="49" spans="1:11" x14ac:dyDescent="0.15">
      <c r="A49" s="122"/>
      <c r="B49" s="125" t="s">
        <v>82</v>
      </c>
      <c r="C49" s="113"/>
      <c r="D49" s="113"/>
      <c r="E49" s="130"/>
      <c r="F49" s="151"/>
      <c r="G49" s="131"/>
      <c r="H49" s="1"/>
      <c r="I49" s="1"/>
      <c r="J49" s="1"/>
      <c r="K49" s="1"/>
    </row>
    <row r="50" spans="1:11" ht="15" x14ac:dyDescent="0.15">
      <c r="A50" s="122"/>
      <c r="B50" s="125"/>
      <c r="C50" s="113" t="s">
        <v>70</v>
      </c>
      <c r="D50" s="143">
        <v>1</v>
      </c>
      <c r="E50" s="130">
        <f>D50</f>
        <v>1</v>
      </c>
      <c r="F50" s="151"/>
      <c r="G50" s="131"/>
      <c r="H50" s="1"/>
      <c r="I50" s="1"/>
      <c r="J50" s="1"/>
      <c r="K50" s="1"/>
    </row>
    <row r="51" spans="1:11" x14ac:dyDescent="0.15">
      <c r="A51" s="122"/>
      <c r="B51" s="125"/>
      <c r="C51" s="113"/>
      <c r="D51" s="113"/>
      <c r="E51" s="130"/>
      <c r="F51" s="151"/>
      <c r="G51" s="131"/>
      <c r="H51" s="1"/>
      <c r="I51" s="1"/>
      <c r="J51" s="1"/>
      <c r="K51" s="1"/>
    </row>
    <row r="52" spans="1:11" x14ac:dyDescent="0.15">
      <c r="A52" s="122"/>
    </row>
    <row r="53" spans="1:11" x14ac:dyDescent="0.15">
      <c r="A53" s="122"/>
      <c r="B53" s="125" t="s">
        <v>83</v>
      </c>
      <c r="C53" s="113"/>
      <c r="D53" s="113"/>
      <c r="E53" s="130"/>
      <c r="F53" s="151"/>
      <c r="G53" s="131"/>
      <c r="H53" s="1"/>
      <c r="I53" s="1"/>
      <c r="J53" s="1"/>
      <c r="K53" s="1"/>
    </row>
    <row r="54" spans="1:11" x14ac:dyDescent="0.15">
      <c r="A54" s="122"/>
      <c r="B54" s="125"/>
      <c r="C54" s="113" t="s">
        <v>84</v>
      </c>
      <c r="D54" s="143">
        <v>10</v>
      </c>
      <c r="E54" s="130"/>
      <c r="F54" s="151"/>
      <c r="G54" s="131"/>
      <c r="H54" s="1"/>
      <c r="I54" s="1"/>
      <c r="J54" s="1"/>
      <c r="K54" s="1"/>
    </row>
    <row r="55" spans="1:11" x14ac:dyDescent="0.15">
      <c r="A55" s="122"/>
      <c r="D55" s="2" t="s">
        <v>85</v>
      </c>
      <c r="E55" s="127">
        <f>+D54/9.2</f>
        <v>1.0869565217391306</v>
      </c>
    </row>
    <row r="56" spans="1:11" x14ac:dyDescent="0.15">
      <c r="A56" s="122"/>
    </row>
    <row r="57" spans="1:11" x14ac:dyDescent="0.15">
      <c r="A57" s="122"/>
      <c r="B57" s="125" t="s">
        <v>86</v>
      </c>
      <c r="C57" s="113"/>
      <c r="D57" s="113"/>
      <c r="E57" s="130"/>
      <c r="F57" s="152"/>
      <c r="H57" s="113"/>
      <c r="I57" s="133"/>
      <c r="J57" s="1"/>
      <c r="K57" s="1"/>
    </row>
    <row r="58" spans="1:11" x14ac:dyDescent="0.15">
      <c r="A58" s="122"/>
      <c r="B58" s="125"/>
      <c r="C58" s="113" t="s">
        <v>84</v>
      </c>
      <c r="D58" s="164">
        <v>102</v>
      </c>
      <c r="E58" s="130"/>
      <c r="F58" s="152"/>
      <c r="G58" s="145"/>
      <c r="H58" s="113"/>
      <c r="I58" s="133"/>
      <c r="J58" s="1"/>
      <c r="K58" s="1"/>
    </row>
    <row r="59" spans="1:11" x14ac:dyDescent="0.15">
      <c r="A59" s="122"/>
      <c r="D59" s="2" t="s">
        <v>87</v>
      </c>
      <c r="E59" s="135">
        <f>+D58*52*1.05</f>
        <v>5569.2</v>
      </c>
      <c r="F59" s="153"/>
      <c r="G59" s="146"/>
      <c r="H59" s="2"/>
      <c r="I59" s="127"/>
    </row>
    <row r="60" spans="1:11" x14ac:dyDescent="0.15">
      <c r="A60" s="122"/>
      <c r="D60" s="2" t="s">
        <v>16</v>
      </c>
      <c r="E60" s="127">
        <f>+D58*0.0236*1.05</f>
        <v>2.5275600000000003</v>
      </c>
      <c r="F60" s="153"/>
      <c r="G60" s="146"/>
      <c r="H60" s="2"/>
      <c r="I60" s="127"/>
    </row>
    <row r="61" spans="1:11" x14ac:dyDescent="0.15">
      <c r="A61" s="122"/>
      <c r="D61" s="2" t="s">
        <v>1</v>
      </c>
      <c r="E61" s="127">
        <f>+D58*0.1301*1.05</f>
        <v>13.93371</v>
      </c>
      <c r="F61" s="153"/>
      <c r="G61" s="146"/>
      <c r="H61" s="2"/>
      <c r="I61" s="127"/>
    </row>
    <row r="62" spans="1:11" x14ac:dyDescent="0.15">
      <c r="A62" s="122"/>
      <c r="B62" s="125" t="s">
        <v>89</v>
      </c>
      <c r="C62" s="113"/>
      <c r="D62" s="113"/>
      <c r="E62" s="130"/>
      <c r="F62" s="151"/>
      <c r="G62" s="131"/>
      <c r="H62" s="1"/>
      <c r="I62" s="1"/>
      <c r="J62" s="1"/>
      <c r="K62" s="1"/>
    </row>
    <row r="63" spans="1:11" x14ac:dyDescent="0.15">
      <c r="A63" s="122"/>
      <c r="B63" s="125"/>
      <c r="C63" s="113" t="s">
        <v>84</v>
      </c>
      <c r="D63" s="164">
        <v>82</v>
      </c>
      <c r="E63" s="130"/>
      <c r="F63" s="151"/>
      <c r="G63" s="147"/>
      <c r="H63" s="1"/>
      <c r="I63" s="1"/>
      <c r="J63" s="1"/>
      <c r="K63" s="1"/>
    </row>
    <row r="64" spans="1:11" x14ac:dyDescent="0.15">
      <c r="A64" s="122"/>
    </row>
    <row r="65" spans="1:11" x14ac:dyDescent="0.15">
      <c r="A65" s="122"/>
      <c r="D65" s="2" t="s">
        <v>87</v>
      </c>
      <c r="E65" s="135">
        <f>+D63*105*1.05</f>
        <v>9040.5</v>
      </c>
      <c r="G65" s="148"/>
    </row>
    <row r="66" spans="1:11" x14ac:dyDescent="0.15">
      <c r="A66" s="122"/>
      <c r="D66" s="2" t="s">
        <v>16</v>
      </c>
      <c r="E66" s="127">
        <f>+D63*0.0599*1.05</f>
        <v>5.1573900000000004</v>
      </c>
      <c r="G66" s="149"/>
    </row>
    <row r="67" spans="1:11" x14ac:dyDescent="0.15">
      <c r="A67" s="122"/>
      <c r="D67" s="2" t="s">
        <v>1</v>
      </c>
      <c r="E67" s="127">
        <f>+D63*0.3313*1.05</f>
        <v>28.524930000000001</v>
      </c>
      <c r="G67" s="149"/>
    </row>
    <row r="68" spans="1:11" x14ac:dyDescent="0.15">
      <c r="A68" s="122"/>
      <c r="B68" s="125" t="s">
        <v>90</v>
      </c>
      <c r="C68" s="113"/>
      <c r="D68" s="113"/>
      <c r="E68" s="130"/>
      <c r="F68" s="151"/>
      <c r="G68" s="131"/>
      <c r="H68" s="1"/>
      <c r="I68" s="1"/>
      <c r="J68" s="1"/>
      <c r="K68" s="1"/>
    </row>
    <row r="69" spans="1:11" x14ac:dyDescent="0.15">
      <c r="A69" s="122"/>
      <c r="B69" s="125"/>
      <c r="C69" s="113" t="s">
        <v>21</v>
      </c>
      <c r="D69" s="143">
        <v>0.11</v>
      </c>
      <c r="E69" s="130"/>
      <c r="F69" s="151"/>
      <c r="G69" s="131"/>
      <c r="H69" s="1"/>
      <c r="I69" s="1"/>
      <c r="J69" s="1"/>
      <c r="K69" s="1"/>
    </row>
    <row r="70" spans="1:11" x14ac:dyDescent="0.15">
      <c r="A70" s="122"/>
      <c r="D70" s="2" t="s">
        <v>87</v>
      </c>
      <c r="E70" s="127">
        <f>+D69*458*1.05</f>
        <v>52.899000000000008</v>
      </c>
    </row>
    <row r="71" spans="1:11" x14ac:dyDescent="0.15">
      <c r="A71" s="122"/>
      <c r="D71" s="2" t="s">
        <v>16</v>
      </c>
      <c r="E71" s="127">
        <f>+D69*0.3073*1.05</f>
        <v>3.5493150000000001E-2</v>
      </c>
    </row>
    <row r="72" spans="1:11" x14ac:dyDescent="0.15">
      <c r="A72" s="122"/>
      <c r="D72" s="2" t="s">
        <v>1</v>
      </c>
      <c r="E72" s="127">
        <f>+D69*1.6991*1.05</f>
        <v>0.19624605000000003</v>
      </c>
    </row>
    <row r="73" spans="1:11" x14ac:dyDescent="0.15">
      <c r="A73" s="122"/>
      <c r="B73" s="120" t="s">
        <v>144</v>
      </c>
      <c r="C73" s="113"/>
      <c r="D73" s="113"/>
      <c r="E73" s="130"/>
    </row>
    <row r="74" spans="1:11" x14ac:dyDescent="0.15">
      <c r="A74" s="122"/>
      <c r="C74" s="113" t="s">
        <v>84</v>
      </c>
      <c r="D74" s="143">
        <v>1</v>
      </c>
      <c r="E74" s="130"/>
    </row>
    <row r="75" spans="1:11" x14ac:dyDescent="0.15">
      <c r="A75" s="122"/>
      <c r="D75" s="2" t="s">
        <v>88</v>
      </c>
      <c r="E75" s="127">
        <f>+D74*53*1.05</f>
        <v>55.650000000000006</v>
      </c>
    </row>
    <row r="76" spans="1:11" x14ac:dyDescent="0.15">
      <c r="A76" s="122"/>
      <c r="D76" s="2" t="s">
        <v>16</v>
      </c>
      <c r="E76" s="127">
        <f>+D74*0.0236*1.05</f>
        <v>2.478E-2</v>
      </c>
    </row>
    <row r="77" spans="1:11" x14ac:dyDescent="0.15">
      <c r="A77" s="122"/>
      <c r="D77" s="2" t="s">
        <v>1</v>
      </c>
      <c r="E77" s="127">
        <f>+D74*0.1301*1.05</f>
        <v>0.136605</v>
      </c>
    </row>
    <row r="78" spans="1:11" x14ac:dyDescent="0.15">
      <c r="A78" s="122"/>
      <c r="B78" s="125" t="s">
        <v>91</v>
      </c>
      <c r="C78" s="113"/>
      <c r="D78" s="113"/>
      <c r="E78" s="130"/>
      <c r="F78" s="151"/>
      <c r="G78" s="131"/>
      <c r="H78" s="1"/>
      <c r="I78" s="1"/>
      <c r="J78" s="1"/>
      <c r="K78" s="1"/>
    </row>
    <row r="79" spans="1:11" x14ac:dyDescent="0.15">
      <c r="A79" s="122"/>
      <c r="B79" s="125"/>
      <c r="C79" s="113" t="s">
        <v>84</v>
      </c>
      <c r="D79" s="143">
        <v>1</v>
      </c>
      <c r="E79" s="130"/>
      <c r="F79" s="151"/>
      <c r="G79" s="131"/>
      <c r="H79" s="1"/>
      <c r="I79" s="1"/>
      <c r="J79" s="1"/>
      <c r="K79" s="1"/>
    </row>
    <row r="80" spans="1:11" x14ac:dyDescent="0.15">
      <c r="A80" s="122"/>
      <c r="D80" s="2" t="s">
        <v>0</v>
      </c>
      <c r="E80" s="127">
        <f>+D79*38*1.01</f>
        <v>38.380000000000003</v>
      </c>
    </row>
    <row r="81" spans="1:11" x14ac:dyDescent="0.15">
      <c r="A81" s="122"/>
      <c r="D81" s="2" t="s">
        <v>16</v>
      </c>
      <c r="E81" s="127">
        <f>+D79*0.017*1.05</f>
        <v>1.7850000000000001E-2</v>
      </c>
    </row>
    <row r="82" spans="1:11" x14ac:dyDescent="0.15">
      <c r="A82" s="122"/>
      <c r="D82" s="2" t="s">
        <v>1</v>
      </c>
      <c r="E82" s="127">
        <f>+D79*0.0234*1.05</f>
        <v>2.4570000000000002E-2</v>
      </c>
    </row>
    <row r="83" spans="1:11" x14ac:dyDescent="0.15">
      <c r="A83" s="122"/>
    </row>
    <row r="84" spans="1:11" x14ac:dyDescent="0.15">
      <c r="A84" s="122"/>
      <c r="B84" s="125" t="s">
        <v>92</v>
      </c>
      <c r="C84" s="113"/>
      <c r="D84" s="113"/>
      <c r="E84" s="130"/>
      <c r="F84" s="151"/>
      <c r="G84" s="131"/>
      <c r="H84" s="1"/>
      <c r="I84" s="1"/>
      <c r="J84" s="1"/>
      <c r="K84" s="1"/>
    </row>
    <row r="85" spans="1:11" x14ac:dyDescent="0.15">
      <c r="A85" s="122"/>
      <c r="B85" s="125"/>
      <c r="C85" s="113" t="s">
        <v>78</v>
      </c>
      <c r="D85" s="143">
        <v>1</v>
      </c>
      <c r="E85" s="130"/>
      <c r="F85" s="151"/>
      <c r="G85" s="131"/>
      <c r="H85" s="1"/>
      <c r="I85" s="1"/>
      <c r="J85" s="1"/>
      <c r="K85" s="1"/>
    </row>
    <row r="86" spans="1:11" x14ac:dyDescent="0.15">
      <c r="A86" s="122"/>
      <c r="D86" s="2" t="s">
        <v>93</v>
      </c>
      <c r="E86" s="127">
        <f>+D85/22</f>
        <v>4.5454545454545456E-2</v>
      </c>
    </row>
    <row r="87" spans="1:11" x14ac:dyDescent="0.15">
      <c r="A87" s="122"/>
    </row>
    <row r="88" spans="1:11" x14ac:dyDescent="0.15">
      <c r="A88" s="122"/>
      <c r="B88" s="125" t="s">
        <v>94</v>
      </c>
      <c r="C88" s="113"/>
      <c r="D88" s="113"/>
      <c r="E88" s="130"/>
      <c r="F88" s="151"/>
      <c r="G88" s="131"/>
      <c r="H88" s="1"/>
      <c r="I88" s="1"/>
      <c r="J88" s="1"/>
      <c r="K88" s="1"/>
    </row>
    <row r="89" spans="1:11" x14ac:dyDescent="0.15">
      <c r="A89" s="122"/>
      <c r="B89" s="125"/>
      <c r="C89" s="113" t="s">
        <v>78</v>
      </c>
      <c r="D89" s="143">
        <v>1</v>
      </c>
      <c r="E89" s="130"/>
      <c r="F89" s="151"/>
      <c r="G89" s="131"/>
      <c r="H89" s="1"/>
      <c r="I89" s="1"/>
      <c r="J89" s="1"/>
      <c r="K89" s="1"/>
    </row>
    <row r="90" spans="1:11" x14ac:dyDescent="0.15">
      <c r="A90" s="122"/>
      <c r="D90" s="2" t="s">
        <v>93</v>
      </c>
      <c r="E90" s="127">
        <f>+D89/22</f>
        <v>4.5454545454545456E-2</v>
      </c>
    </row>
    <row r="91" spans="1:11" x14ac:dyDescent="0.15">
      <c r="A91" s="122"/>
    </row>
    <row r="92" spans="1:11" x14ac:dyDescent="0.15">
      <c r="A92" s="122"/>
      <c r="B92" s="125" t="s">
        <v>95</v>
      </c>
      <c r="C92" s="113"/>
      <c r="D92" s="113"/>
      <c r="E92" s="130"/>
      <c r="F92" s="151"/>
      <c r="G92" s="131"/>
      <c r="H92" s="1"/>
      <c r="I92" s="1"/>
      <c r="J92" s="1"/>
      <c r="K92" s="1"/>
    </row>
    <row r="93" spans="1:11" x14ac:dyDescent="0.15">
      <c r="A93" s="122"/>
      <c r="B93" s="125"/>
      <c r="C93" s="113" t="s">
        <v>78</v>
      </c>
      <c r="D93" s="143">
        <v>100</v>
      </c>
      <c r="E93" s="130"/>
      <c r="F93" s="151"/>
      <c r="G93" s="131"/>
      <c r="H93" s="1"/>
      <c r="I93" s="1"/>
      <c r="J93" s="1"/>
      <c r="K93" s="1"/>
    </row>
    <row r="94" spans="1:11" x14ac:dyDescent="0.15">
      <c r="A94" s="122"/>
      <c r="D94" s="2" t="s">
        <v>93</v>
      </c>
      <c r="E94" s="127">
        <f>+D93/20</f>
        <v>5</v>
      </c>
    </row>
    <row r="95" spans="1:11" x14ac:dyDescent="0.15">
      <c r="A95" s="122"/>
    </row>
    <row r="96" spans="1:11" x14ac:dyDescent="0.15">
      <c r="A96" s="122"/>
      <c r="B96" s="125" t="s">
        <v>96</v>
      </c>
      <c r="C96" s="113"/>
      <c r="D96" s="113"/>
      <c r="E96" s="130"/>
      <c r="F96" s="151"/>
      <c r="G96" s="131"/>
      <c r="H96" s="1"/>
      <c r="I96" s="1"/>
      <c r="J96" s="1"/>
      <c r="K96" s="1"/>
    </row>
    <row r="97" spans="1:11" x14ac:dyDescent="0.15">
      <c r="A97" s="122"/>
      <c r="B97" s="125"/>
      <c r="C97" s="113" t="s">
        <v>78</v>
      </c>
      <c r="D97" s="143">
        <v>221</v>
      </c>
      <c r="E97" s="130"/>
      <c r="F97" s="151"/>
      <c r="G97" s="131"/>
      <c r="H97" s="1"/>
      <c r="I97" s="1"/>
      <c r="J97" s="1"/>
      <c r="K97" s="1"/>
    </row>
    <row r="98" spans="1:11" x14ac:dyDescent="0.15">
      <c r="A98" s="122"/>
      <c r="D98" s="2" t="s">
        <v>93</v>
      </c>
      <c r="E98" s="127">
        <f>+D97/20</f>
        <v>11.05</v>
      </c>
    </row>
    <row r="99" spans="1:11" x14ac:dyDescent="0.15">
      <c r="A99" s="122"/>
    </row>
    <row r="100" spans="1:11" x14ac:dyDescent="0.15">
      <c r="A100" s="122"/>
    </row>
    <row r="101" spans="1:11" x14ac:dyDescent="0.15">
      <c r="A101" s="122"/>
      <c r="B101" s="125" t="s">
        <v>97</v>
      </c>
      <c r="C101" s="113"/>
      <c r="D101" s="113"/>
      <c r="E101" s="130"/>
      <c r="F101" s="151"/>
      <c r="G101" s="131"/>
      <c r="H101" s="1"/>
      <c r="I101" s="1"/>
      <c r="J101" s="1"/>
      <c r="K101" s="1"/>
    </row>
    <row r="102" spans="1:11" x14ac:dyDescent="0.15">
      <c r="A102" s="122"/>
      <c r="B102" s="125"/>
      <c r="C102" s="113" t="s">
        <v>21</v>
      </c>
      <c r="D102" s="143">
        <v>221</v>
      </c>
      <c r="E102" s="130"/>
      <c r="F102" s="151"/>
      <c r="G102" s="131"/>
      <c r="H102" s="1"/>
      <c r="I102" s="1"/>
      <c r="J102" s="1"/>
      <c r="K102" s="1"/>
    </row>
    <row r="103" spans="1:11" x14ac:dyDescent="0.15">
      <c r="A103" s="122"/>
      <c r="D103" s="2" t="s">
        <v>98</v>
      </c>
      <c r="E103" s="127">
        <f>+D102*120</f>
        <v>26520</v>
      </c>
    </row>
    <row r="104" spans="1:11" x14ac:dyDescent="0.15">
      <c r="A104" s="122"/>
    </row>
    <row r="105" spans="1:11" x14ac:dyDescent="0.15">
      <c r="A105" s="122"/>
    </row>
    <row r="106" spans="1:11" x14ac:dyDescent="0.15">
      <c r="A106" s="122"/>
      <c r="B106" s="125" t="s">
        <v>99</v>
      </c>
      <c r="G106" s="132"/>
    </row>
    <row r="107" spans="1:11" x14ac:dyDescent="0.15">
      <c r="A107" s="122"/>
      <c r="B107" s="125"/>
      <c r="C107" s="113" t="s">
        <v>84</v>
      </c>
      <c r="D107" s="143">
        <v>0</v>
      </c>
      <c r="I107" s="113"/>
      <c r="J107" s="113"/>
      <c r="K107" s="121"/>
    </row>
    <row r="108" spans="1:11" x14ac:dyDescent="0.15">
      <c r="A108" s="122"/>
      <c r="B108" s="125"/>
      <c r="D108" s="2" t="s">
        <v>80</v>
      </c>
      <c r="E108" s="127">
        <f>+D107/2.88</f>
        <v>0</v>
      </c>
      <c r="I108" s="2"/>
      <c r="J108" s="2"/>
      <c r="K108" s="121"/>
    </row>
    <row r="109" spans="1:11" x14ac:dyDescent="0.15">
      <c r="A109" s="122"/>
      <c r="B109" s="125"/>
    </row>
    <row r="110" spans="1:11" x14ac:dyDescent="0.15">
      <c r="A110" s="122"/>
      <c r="B110" s="125" t="s">
        <v>100</v>
      </c>
      <c r="C110"/>
      <c r="D110"/>
    </row>
    <row r="111" spans="1:11" x14ac:dyDescent="0.15">
      <c r="A111" s="122"/>
      <c r="B111"/>
      <c r="C111" s="113" t="s">
        <v>84</v>
      </c>
      <c r="D111" s="143">
        <v>1</v>
      </c>
      <c r="E111" s="161"/>
    </row>
    <row r="112" spans="1:11" x14ac:dyDescent="0.15">
      <c r="A112" s="122"/>
      <c r="B112"/>
      <c r="D112" s="2" t="s">
        <v>80</v>
      </c>
      <c r="E112" s="161">
        <f>+D111/2.88*3</f>
        <v>1.0416666666666665</v>
      </c>
    </row>
    <row r="113" spans="1:6" x14ac:dyDescent="0.15">
      <c r="A113" s="122"/>
      <c r="B113" s="125"/>
    </row>
    <row r="114" spans="1:6" x14ac:dyDescent="0.15">
      <c r="A114" s="122"/>
      <c r="B114" s="125" t="s">
        <v>101</v>
      </c>
    </row>
    <row r="115" spans="1:6" x14ac:dyDescent="0.15">
      <c r="A115" s="122"/>
      <c r="C115" s="113" t="s">
        <v>78</v>
      </c>
      <c r="D115" s="143">
        <v>2</v>
      </c>
    </row>
    <row r="116" spans="1:6" x14ac:dyDescent="0.15">
      <c r="A116" s="122"/>
      <c r="C116" s="113"/>
      <c r="D116" s="112" t="s">
        <v>102</v>
      </c>
      <c r="E116" s="127">
        <f>+D115/6</f>
        <v>0.33333333333333331</v>
      </c>
    </row>
    <row r="117" spans="1:6" x14ac:dyDescent="0.15">
      <c r="A117" s="122"/>
      <c r="C117" s="113"/>
      <c r="D117" s="113"/>
    </row>
    <row r="118" spans="1:6" x14ac:dyDescent="0.15">
      <c r="A118" s="122"/>
      <c r="B118" s="125" t="s">
        <v>103</v>
      </c>
      <c r="C118" s="113"/>
      <c r="D118" s="113"/>
      <c r="E118" s="130"/>
    </row>
    <row r="119" spans="1:6" x14ac:dyDescent="0.15">
      <c r="A119" s="122"/>
      <c r="B119" s="125"/>
      <c r="C119" s="113" t="s">
        <v>84</v>
      </c>
      <c r="D119" s="143">
        <v>1</v>
      </c>
      <c r="E119" s="130"/>
    </row>
    <row r="120" spans="1:6" x14ac:dyDescent="0.15">
      <c r="A120" s="122"/>
      <c r="D120" s="2" t="s">
        <v>16</v>
      </c>
      <c r="E120" s="127">
        <f>+D119*0.02*1.1*1.05</f>
        <v>2.3100000000000002E-2</v>
      </c>
    </row>
    <row r="121" spans="1:6" x14ac:dyDescent="0.15">
      <c r="A121" s="122"/>
      <c r="D121" s="2" t="s">
        <v>1</v>
      </c>
      <c r="E121" s="127">
        <f>+D119*0.02*10.56*1.05</f>
        <v>0.22176000000000004</v>
      </c>
    </row>
    <row r="122" spans="1:6" x14ac:dyDescent="0.15">
      <c r="A122" s="122"/>
      <c r="D122" s="2" t="s">
        <v>104</v>
      </c>
      <c r="E122" s="127">
        <f>+D119/13.8*1.05</f>
        <v>7.6086956521739135E-2</v>
      </c>
    </row>
    <row r="123" spans="1:6" x14ac:dyDescent="0.15">
      <c r="A123" s="122"/>
      <c r="D123" s="2" t="s">
        <v>105</v>
      </c>
      <c r="E123" s="127">
        <f>+D119/13.8*3*1.05</f>
        <v>0.22826086956521743</v>
      </c>
    </row>
    <row r="124" spans="1:6" x14ac:dyDescent="0.15">
      <c r="A124" s="122"/>
      <c r="C124" s="113"/>
      <c r="D124" s="113"/>
    </row>
    <row r="125" spans="1:6" x14ac:dyDescent="0.15">
      <c r="A125" s="122"/>
      <c r="C125" s="113"/>
      <c r="D125" s="113"/>
    </row>
    <row r="126" spans="1:6" x14ac:dyDescent="0.15">
      <c r="A126" s="122"/>
      <c r="B126" s="123" t="s">
        <v>106</v>
      </c>
      <c r="E126" s="167" t="s">
        <v>107</v>
      </c>
      <c r="F126"/>
    </row>
    <row r="127" spans="1:6" x14ac:dyDescent="0.15">
      <c r="A127" s="122"/>
      <c r="B127" s="120" t="s">
        <v>68</v>
      </c>
      <c r="C127"/>
    </row>
    <row r="128" spans="1:6" x14ac:dyDescent="0.15">
      <c r="A128" s="122"/>
      <c r="B128" s="126" t="s">
        <v>69</v>
      </c>
      <c r="C128" s="1" t="s">
        <v>21</v>
      </c>
      <c r="D128" s="143">
        <v>14</v>
      </c>
    </row>
    <row r="129" spans="1:10" x14ac:dyDescent="0.15">
      <c r="A129" s="122"/>
      <c r="B129" s="128"/>
      <c r="C129" s="129"/>
    </row>
    <row r="130" spans="1:10" x14ac:dyDescent="0.15">
      <c r="A130" s="122"/>
      <c r="B130" s="128"/>
      <c r="C130" s="129"/>
      <c r="D130" s="2" t="s">
        <v>2</v>
      </c>
      <c r="E130" s="127">
        <f>+D128*0.75*1.05</f>
        <v>11.025</v>
      </c>
    </row>
    <row r="131" spans="1:10" x14ac:dyDescent="0.15">
      <c r="A131" s="122"/>
      <c r="B131" s="128"/>
      <c r="C131" s="129"/>
      <c r="D131" s="2" t="s">
        <v>1</v>
      </c>
      <c r="E131" s="127">
        <f>+D128*5.25*1.05</f>
        <v>77.174999999999997</v>
      </c>
    </row>
    <row r="132" spans="1:10" x14ac:dyDescent="0.15">
      <c r="A132" s="122"/>
      <c r="B132" s="128"/>
      <c r="C132" s="129"/>
      <c r="D132" s="2" t="s">
        <v>4</v>
      </c>
      <c r="E132" s="127">
        <f>+D128*0.81*1.05</f>
        <v>11.907</v>
      </c>
    </row>
    <row r="133" spans="1:10" x14ac:dyDescent="0.15">
      <c r="A133" s="122"/>
      <c r="B133" s="128"/>
      <c r="C133" s="129"/>
      <c r="D133" s="143">
        <v>18</v>
      </c>
    </row>
    <row r="134" spans="1:10" x14ac:dyDescent="0.15">
      <c r="A134" s="122"/>
      <c r="B134" s="126" t="s">
        <v>71</v>
      </c>
      <c r="C134" s="1" t="s">
        <v>21</v>
      </c>
      <c r="D134" s="143">
        <v>1</v>
      </c>
    </row>
    <row r="135" spans="1:10" x14ac:dyDescent="0.15">
      <c r="A135" s="122"/>
      <c r="B135" s="128"/>
      <c r="C135" s="129"/>
    </row>
    <row r="136" spans="1:10" x14ac:dyDescent="0.15">
      <c r="A136" s="122"/>
      <c r="B136" s="128"/>
      <c r="C136" s="129"/>
      <c r="D136" s="2" t="s">
        <v>2</v>
      </c>
      <c r="E136" s="127">
        <f>+D134*0.74*1.05</f>
        <v>0.77700000000000002</v>
      </c>
      <c r="J136" s="111"/>
    </row>
    <row r="137" spans="1:10" x14ac:dyDescent="0.15">
      <c r="A137" s="122"/>
      <c r="B137" s="128"/>
      <c r="C137" s="129"/>
      <c r="D137" s="2" t="s">
        <v>1</v>
      </c>
      <c r="E137" s="127">
        <f>+D134*6.8*1.05</f>
        <v>7.14</v>
      </c>
    </row>
    <row r="138" spans="1:10" x14ac:dyDescent="0.15">
      <c r="A138" s="122"/>
      <c r="B138" s="128"/>
      <c r="C138" s="129"/>
      <c r="D138" s="2" t="s">
        <v>4</v>
      </c>
      <c r="E138" s="127">
        <f>+D134*0.77*1.05</f>
        <v>0.80850000000000011</v>
      </c>
    </row>
    <row r="139" spans="1:10" x14ac:dyDescent="0.15">
      <c r="A139" s="122"/>
      <c r="B139" s="128"/>
      <c r="D139" s="155"/>
    </row>
    <row r="140" spans="1:10" x14ac:dyDescent="0.15">
      <c r="A140" s="122"/>
      <c r="B140" s="126" t="s">
        <v>72</v>
      </c>
      <c r="C140" s="1" t="s">
        <v>21</v>
      </c>
      <c r="D140" s="143">
        <v>18</v>
      </c>
    </row>
    <row r="141" spans="1:10" x14ac:dyDescent="0.15">
      <c r="A141" s="122"/>
      <c r="B141" s="128"/>
      <c r="C141" s="129"/>
      <c r="D141" s="2" t="s">
        <v>2</v>
      </c>
      <c r="E141" s="127">
        <f>+D140*0.68*1.05</f>
        <v>12.852</v>
      </c>
    </row>
    <row r="142" spans="1:10" x14ac:dyDescent="0.15">
      <c r="A142" s="122"/>
      <c r="B142" s="128"/>
      <c r="C142" s="129"/>
      <c r="D142" s="2" t="s">
        <v>1</v>
      </c>
      <c r="E142" s="127">
        <f>+D140*7.4*1.05</f>
        <v>139.86000000000001</v>
      </c>
    </row>
    <row r="143" spans="1:10" x14ac:dyDescent="0.15">
      <c r="A143" s="122"/>
      <c r="B143" s="128"/>
      <c r="C143" s="129"/>
      <c r="D143" s="2" t="s">
        <v>4</v>
      </c>
      <c r="E143" s="127">
        <f>+D140*0.84*1.05</f>
        <v>15.875999999999999</v>
      </c>
    </row>
    <row r="144" spans="1:10" x14ac:dyDescent="0.15">
      <c r="A144" s="122"/>
      <c r="B144" s="128"/>
    </row>
    <row r="145" spans="1:11" x14ac:dyDescent="0.15">
      <c r="A145" s="122"/>
      <c r="B145" s="126" t="s">
        <v>73</v>
      </c>
      <c r="C145" s="1" t="s">
        <v>21</v>
      </c>
      <c r="D145" s="143">
        <v>13</v>
      </c>
    </row>
    <row r="146" spans="1:11" x14ac:dyDescent="0.15">
      <c r="A146" s="122"/>
      <c r="B146" s="128"/>
      <c r="C146" s="129"/>
      <c r="D146" s="2" t="s">
        <v>2</v>
      </c>
      <c r="E146" s="127">
        <f>+D145*0.69*1.05</f>
        <v>9.4184999999999999</v>
      </c>
    </row>
    <row r="147" spans="1:11" x14ac:dyDescent="0.15">
      <c r="A147" s="122"/>
      <c r="B147" s="128"/>
      <c r="C147" s="129"/>
      <c r="D147" s="2" t="s">
        <v>1</v>
      </c>
      <c r="E147" s="127">
        <f>+D145*8*1.05</f>
        <v>109.2</v>
      </c>
    </row>
    <row r="148" spans="1:11" x14ac:dyDescent="0.15">
      <c r="A148" s="122"/>
      <c r="B148" s="128"/>
      <c r="C148" s="129"/>
      <c r="D148" s="2" t="s">
        <v>4</v>
      </c>
      <c r="E148" s="127">
        <f>+D145*0.86*1.05</f>
        <v>11.739000000000001</v>
      </c>
    </row>
    <row r="149" spans="1:11" x14ac:dyDescent="0.15">
      <c r="A149" s="122"/>
      <c r="B149" s="128"/>
      <c r="C149" s="129"/>
    </row>
    <row r="150" spans="1:11" x14ac:dyDescent="0.15">
      <c r="A150" s="122"/>
      <c r="B150" s="126" t="s">
        <v>74</v>
      </c>
      <c r="C150" s="1" t="s">
        <v>21</v>
      </c>
      <c r="D150" s="143">
        <v>1</v>
      </c>
    </row>
    <row r="151" spans="1:11" x14ac:dyDescent="0.15">
      <c r="A151" s="122"/>
      <c r="B151" s="128"/>
      <c r="C151" s="129"/>
      <c r="D151" s="2" t="s">
        <v>2</v>
      </c>
      <c r="E151" s="127">
        <f>+D150*0.68*1.05</f>
        <v>0.71400000000000008</v>
      </c>
    </row>
    <row r="152" spans="1:11" x14ac:dyDescent="0.15">
      <c r="A152" s="122"/>
      <c r="B152" s="128"/>
      <c r="C152" s="129"/>
      <c r="D152" s="2" t="s">
        <v>1</v>
      </c>
      <c r="E152" s="127">
        <f>+D150*6.2*1.05</f>
        <v>6.5100000000000007</v>
      </c>
    </row>
    <row r="153" spans="1:11" x14ac:dyDescent="0.15">
      <c r="A153" s="122"/>
      <c r="B153" s="128"/>
      <c r="C153" s="129"/>
      <c r="D153" s="2" t="s">
        <v>4</v>
      </c>
      <c r="E153" s="127">
        <f>+D150*0.86*1.05</f>
        <v>0.90300000000000002</v>
      </c>
    </row>
    <row r="154" spans="1:11" x14ac:dyDescent="0.15">
      <c r="A154" s="122"/>
    </row>
    <row r="155" spans="1:11" x14ac:dyDescent="0.15">
      <c r="A155" s="122"/>
      <c r="B155" s="126" t="s">
        <v>75</v>
      </c>
      <c r="C155" s="1" t="s">
        <v>21</v>
      </c>
      <c r="D155" s="143">
        <v>1</v>
      </c>
    </row>
    <row r="156" spans="1:11" x14ac:dyDescent="0.15">
      <c r="A156" s="122"/>
      <c r="B156" s="128"/>
      <c r="C156" s="129"/>
      <c r="D156" s="2" t="s">
        <v>2</v>
      </c>
      <c r="E156" s="127">
        <f>+D155*0.59*1.05</f>
        <v>0.61949999999999994</v>
      </c>
    </row>
    <row r="157" spans="1:11" x14ac:dyDescent="0.15">
      <c r="A157" s="122"/>
      <c r="B157" s="128"/>
      <c r="C157" s="129"/>
      <c r="D157" s="2" t="s">
        <v>1</v>
      </c>
      <c r="E157" s="127">
        <f>+D155*7.2*1.05</f>
        <v>7.5600000000000005</v>
      </c>
    </row>
    <row r="158" spans="1:11" x14ac:dyDescent="0.15">
      <c r="A158" s="122"/>
      <c r="B158" s="128"/>
      <c r="C158" s="129"/>
      <c r="D158" s="2" t="s">
        <v>4</v>
      </c>
      <c r="E158" s="127">
        <f>+D155*0.87*1.05</f>
        <v>0.91349999999999998</v>
      </c>
    </row>
    <row r="159" spans="1:11" x14ac:dyDescent="0.15">
      <c r="A159" s="122"/>
    </row>
    <row r="160" spans="1:11" x14ac:dyDescent="0.15">
      <c r="A160" s="122"/>
      <c r="B160" s="125" t="s">
        <v>108</v>
      </c>
      <c r="C160" s="113"/>
      <c r="D160" s="113"/>
      <c r="E160" s="130"/>
      <c r="F160" s="151"/>
      <c r="G160" s="131"/>
      <c r="H160" s="1"/>
      <c r="I160" s="1"/>
      <c r="J160" s="1"/>
      <c r="K160" s="1"/>
    </row>
    <row r="161" spans="1:11" x14ac:dyDescent="0.15">
      <c r="A161" s="122"/>
      <c r="B161" s="125"/>
      <c r="C161" s="113" t="s">
        <v>84</v>
      </c>
      <c r="D161" s="143">
        <v>1</v>
      </c>
      <c r="E161" s="130"/>
      <c r="F161" s="151"/>
      <c r="G161" s="131"/>
      <c r="H161" s="1"/>
      <c r="I161" s="1"/>
      <c r="J161" s="1"/>
      <c r="K161" s="1"/>
    </row>
    <row r="162" spans="1:11" x14ac:dyDescent="0.15">
      <c r="A162" s="122"/>
      <c r="D162" s="2" t="s">
        <v>51</v>
      </c>
      <c r="E162" s="127">
        <f>+D161*0.04*1.1*1.05</f>
        <v>4.6200000000000005E-2</v>
      </c>
    </row>
    <row r="163" spans="1:11" x14ac:dyDescent="0.15">
      <c r="A163" s="122"/>
      <c r="D163" s="2" t="s">
        <v>1</v>
      </c>
      <c r="E163" s="127">
        <f>+D161*0.04*10.56*1.05</f>
        <v>0.44352000000000008</v>
      </c>
    </row>
    <row r="164" spans="1:11" x14ac:dyDescent="0.15">
      <c r="A164" s="122"/>
    </row>
    <row r="165" spans="1:11" x14ac:dyDescent="0.15">
      <c r="A165" s="122"/>
      <c r="B165" s="125" t="s">
        <v>86</v>
      </c>
      <c r="C165" s="113"/>
      <c r="D165" s="165"/>
      <c r="E165" s="130"/>
      <c r="F165" s="151"/>
      <c r="G165" s="132"/>
      <c r="H165" s="113"/>
      <c r="I165" s="113"/>
      <c r="J165" s="133"/>
      <c r="K165" s="1"/>
    </row>
    <row r="166" spans="1:11" x14ac:dyDescent="0.15">
      <c r="A166" s="122"/>
      <c r="B166" s="125"/>
      <c r="C166" s="113" t="s">
        <v>84</v>
      </c>
      <c r="D166" s="143">
        <v>1</v>
      </c>
      <c r="E166" s="130"/>
      <c r="F166" s="151"/>
      <c r="G166" s="132"/>
      <c r="H166" s="113"/>
      <c r="I166" s="113"/>
      <c r="J166" s="133"/>
      <c r="K166" s="1"/>
    </row>
    <row r="167" spans="1:11" x14ac:dyDescent="0.15">
      <c r="A167" s="122"/>
      <c r="D167" s="2" t="s">
        <v>87</v>
      </c>
      <c r="E167" s="127">
        <f>+D166*52*1.05</f>
        <v>54.6</v>
      </c>
      <c r="G167" s="134"/>
      <c r="H167" s="2"/>
      <c r="I167" s="2"/>
      <c r="J167" s="121"/>
    </row>
    <row r="168" spans="1:11" x14ac:dyDescent="0.15">
      <c r="A168" s="122"/>
      <c r="D168" s="2" t="s">
        <v>16</v>
      </c>
      <c r="E168" s="127">
        <f>+D166*0.0236*1.05</f>
        <v>2.478E-2</v>
      </c>
      <c r="G168" s="134"/>
      <c r="H168" s="2"/>
      <c r="I168" s="2"/>
      <c r="J168" s="121"/>
    </row>
    <row r="169" spans="1:11" x14ac:dyDescent="0.15">
      <c r="A169" s="122"/>
      <c r="D169" s="2" t="s">
        <v>1</v>
      </c>
      <c r="E169" s="127">
        <f>+D166*0.16*1.05</f>
        <v>0.16800000000000001</v>
      </c>
      <c r="G169" s="134"/>
      <c r="H169" s="2"/>
      <c r="I169" s="2"/>
      <c r="J169" s="121"/>
    </row>
    <row r="170" spans="1:11" x14ac:dyDescent="0.15">
      <c r="A170" s="122"/>
      <c r="B170" s="125" t="s">
        <v>89</v>
      </c>
      <c r="C170" s="113"/>
      <c r="D170" s="113"/>
      <c r="E170" s="130"/>
      <c r="F170" s="151"/>
      <c r="G170" s="131"/>
      <c r="H170" s="1"/>
      <c r="I170" s="1"/>
      <c r="J170" s="1"/>
      <c r="K170" s="1"/>
    </row>
    <row r="171" spans="1:11" x14ac:dyDescent="0.15">
      <c r="A171" s="122"/>
      <c r="B171" s="125"/>
      <c r="C171" s="113" t="s">
        <v>84</v>
      </c>
      <c r="D171" s="143">
        <v>290</v>
      </c>
      <c r="E171" s="130"/>
      <c r="F171" s="151"/>
      <c r="G171" s="131"/>
      <c r="H171" s="1"/>
      <c r="I171" s="1"/>
      <c r="J171" s="1"/>
      <c r="K171" s="1"/>
    </row>
    <row r="172" spans="1:11" x14ac:dyDescent="0.15">
      <c r="A172" s="122"/>
      <c r="D172" s="2" t="s">
        <v>87</v>
      </c>
      <c r="E172" s="127">
        <f>+D171*105*1.05</f>
        <v>31972.5</v>
      </c>
    </row>
    <row r="173" spans="1:11" x14ac:dyDescent="0.15">
      <c r="A173" s="122"/>
      <c r="D173" s="2" t="s">
        <v>16</v>
      </c>
      <c r="E173" s="127">
        <f>+D171*0.0599*1.05</f>
        <v>18.239550000000005</v>
      </c>
    </row>
    <row r="174" spans="1:11" x14ac:dyDescent="0.15">
      <c r="A174" s="122"/>
      <c r="D174" s="2" t="s">
        <v>1</v>
      </c>
      <c r="E174" s="127">
        <f>+D171*0.3313*1.05</f>
        <v>100.88085000000001</v>
      </c>
    </row>
    <row r="175" spans="1:11" ht="9" customHeight="1" x14ac:dyDescent="0.15">
      <c r="A175" s="122"/>
    </row>
    <row r="176" spans="1:11" x14ac:dyDescent="0.15">
      <c r="A176" s="122"/>
      <c r="B176" s="120" t="s">
        <v>145</v>
      </c>
      <c r="C176" s="113"/>
      <c r="D176" s="143">
        <v>1</v>
      </c>
      <c r="E176" s="130"/>
    </row>
    <row r="177" spans="1:11" x14ac:dyDescent="0.15">
      <c r="A177" s="122"/>
      <c r="D177" s="2" t="s">
        <v>88</v>
      </c>
      <c r="E177" s="127">
        <f>+D176*53*1.05</f>
        <v>55.650000000000006</v>
      </c>
    </row>
    <row r="178" spans="1:11" x14ac:dyDescent="0.15">
      <c r="A178" s="122"/>
      <c r="D178" s="2" t="s">
        <v>16</v>
      </c>
      <c r="E178" s="127">
        <f>+D176*0.0236*1.05</f>
        <v>2.478E-2</v>
      </c>
    </row>
    <row r="179" spans="1:11" x14ac:dyDescent="0.15">
      <c r="A179" s="122"/>
      <c r="D179" s="2" t="s">
        <v>1</v>
      </c>
      <c r="E179" s="127">
        <f>+D176*0.1301*1.05</f>
        <v>0.136605</v>
      </c>
    </row>
    <row r="180" spans="1:11" ht="9" customHeight="1" x14ac:dyDescent="0.15">
      <c r="A180" s="122"/>
      <c r="C180" s="1"/>
      <c r="D180" s="1"/>
      <c r="E180" s="130"/>
    </row>
    <row r="181" spans="1:11" x14ac:dyDescent="0.15">
      <c r="A181" s="122"/>
      <c r="B181" s="125" t="s">
        <v>90</v>
      </c>
      <c r="C181" s="113"/>
      <c r="D181" s="113"/>
      <c r="E181" s="130"/>
      <c r="F181" s="151"/>
      <c r="G181" s="131"/>
      <c r="H181" s="1"/>
      <c r="I181" s="1"/>
      <c r="J181" s="1"/>
      <c r="K181" s="1"/>
    </row>
    <row r="182" spans="1:11" x14ac:dyDescent="0.15">
      <c r="A182" s="122"/>
      <c r="B182" s="125"/>
      <c r="C182" s="113" t="s">
        <v>21</v>
      </c>
      <c r="D182" s="143">
        <v>1</v>
      </c>
      <c r="E182" s="130"/>
      <c r="F182" s="151"/>
      <c r="G182" s="131"/>
      <c r="H182" s="1"/>
      <c r="I182" s="1"/>
      <c r="J182" s="1"/>
      <c r="K182" s="1"/>
    </row>
    <row r="183" spans="1:11" x14ac:dyDescent="0.15">
      <c r="A183" s="122"/>
      <c r="D183" s="2" t="s">
        <v>87</v>
      </c>
      <c r="E183" s="127">
        <f>+D182*392*1.05</f>
        <v>411.6</v>
      </c>
      <c r="H183" s="136"/>
    </row>
    <row r="184" spans="1:11" x14ac:dyDescent="0.15">
      <c r="A184" s="122"/>
      <c r="D184" s="2" t="s">
        <v>16</v>
      </c>
      <c r="E184" s="127">
        <f>+D182*0.3073*1.05</f>
        <v>0.32266500000000004</v>
      </c>
    </row>
    <row r="185" spans="1:11" x14ac:dyDescent="0.15">
      <c r="A185" s="122"/>
      <c r="D185" s="2" t="s">
        <v>1</v>
      </c>
      <c r="E185" s="127">
        <f>+D182*1.6991*1.05</f>
        <v>1.7840550000000002</v>
      </c>
    </row>
    <row r="186" spans="1:11" x14ac:dyDescent="0.15">
      <c r="A186" s="122"/>
      <c r="B186" s="125" t="s">
        <v>91</v>
      </c>
      <c r="C186" s="113"/>
      <c r="D186" s="113"/>
      <c r="E186" s="130"/>
      <c r="F186" s="151"/>
      <c r="G186" s="131"/>
      <c r="H186" s="1"/>
      <c r="I186" s="1"/>
      <c r="J186" s="1"/>
      <c r="K186" s="1"/>
    </row>
    <row r="187" spans="1:11" x14ac:dyDescent="0.15">
      <c r="A187" s="122"/>
      <c r="B187" s="125"/>
      <c r="C187" s="113" t="s">
        <v>84</v>
      </c>
      <c r="D187" s="143">
        <v>1</v>
      </c>
      <c r="E187" s="130"/>
      <c r="F187" s="151"/>
      <c r="G187" s="131"/>
      <c r="H187" s="1"/>
      <c r="I187" s="1"/>
      <c r="J187" s="1"/>
      <c r="K187" s="1"/>
    </row>
    <row r="188" spans="1:11" x14ac:dyDescent="0.15">
      <c r="A188" s="122"/>
      <c r="D188" s="2" t="s">
        <v>0</v>
      </c>
      <c r="E188" s="127">
        <f>+D187*38*1.01</f>
        <v>38.380000000000003</v>
      </c>
    </row>
    <row r="189" spans="1:11" x14ac:dyDescent="0.15">
      <c r="A189" s="122"/>
      <c r="D189" s="2" t="s">
        <v>16</v>
      </c>
      <c r="E189" s="127">
        <f>+D187*0.017*1.05</f>
        <v>1.7850000000000001E-2</v>
      </c>
    </row>
    <row r="190" spans="1:11" x14ac:dyDescent="0.15">
      <c r="A190" s="122"/>
      <c r="D190" s="2" t="s">
        <v>1</v>
      </c>
      <c r="E190" s="127">
        <f>+D187*0.0234*1.05</f>
        <v>2.4570000000000002E-2</v>
      </c>
    </row>
    <row r="191" spans="1:11" x14ac:dyDescent="0.15">
      <c r="A191" s="122"/>
    </row>
    <row r="192" spans="1:11" x14ac:dyDescent="0.15">
      <c r="A192" s="122"/>
      <c r="B192" s="125" t="s">
        <v>109</v>
      </c>
      <c r="C192" s="113"/>
      <c r="D192" s="113"/>
      <c r="E192" s="130"/>
      <c r="F192" s="151"/>
      <c r="G192" s="131"/>
      <c r="H192" s="1"/>
      <c r="I192" s="1"/>
      <c r="J192" s="1"/>
      <c r="K192" s="1"/>
    </row>
    <row r="193" spans="1:11" x14ac:dyDescent="0.15">
      <c r="A193" s="122"/>
      <c r="B193" s="125"/>
      <c r="C193" s="113" t="s">
        <v>84</v>
      </c>
      <c r="D193" s="143">
        <v>1</v>
      </c>
      <c r="E193" s="130"/>
      <c r="F193" s="151"/>
      <c r="G193" s="131"/>
      <c r="H193" s="1"/>
      <c r="I193" s="1"/>
      <c r="J193" s="1"/>
      <c r="K193" s="1"/>
    </row>
    <row r="194" spans="1:11" x14ac:dyDescent="0.15">
      <c r="A194" s="122"/>
      <c r="D194" s="2" t="s">
        <v>110</v>
      </c>
      <c r="E194" s="127">
        <f>+D193*9.87*1.05</f>
        <v>10.3635</v>
      </c>
    </row>
    <row r="195" spans="1:11" x14ac:dyDescent="0.15">
      <c r="A195" s="122"/>
      <c r="D195" s="2" t="s">
        <v>16</v>
      </c>
      <c r="E195" s="127">
        <f>+D193*0.03*1.05</f>
        <v>3.15E-2</v>
      </c>
    </row>
    <row r="196" spans="1:11" x14ac:dyDescent="0.15">
      <c r="A196" s="122"/>
      <c r="D196" s="2" t="s">
        <v>1</v>
      </c>
      <c r="E196" s="127">
        <f>+D193*0.21*1.05</f>
        <v>0.2205</v>
      </c>
    </row>
    <row r="197" spans="1:11" x14ac:dyDescent="0.15">
      <c r="A197" s="122"/>
    </row>
    <row r="198" spans="1:11" x14ac:dyDescent="0.15">
      <c r="A198" s="122"/>
    </row>
    <row r="199" spans="1:11" x14ac:dyDescent="0.15">
      <c r="A199" s="122"/>
      <c r="B199" s="125" t="s">
        <v>92</v>
      </c>
      <c r="C199" s="113"/>
      <c r="D199" s="113"/>
      <c r="E199" s="130"/>
      <c r="F199" s="151"/>
      <c r="G199" s="131"/>
      <c r="H199" s="1"/>
      <c r="I199" s="1"/>
      <c r="J199" s="1"/>
      <c r="K199" s="1"/>
    </row>
    <row r="200" spans="1:11" x14ac:dyDescent="0.15">
      <c r="A200" s="122"/>
      <c r="B200" s="125"/>
      <c r="C200" s="113" t="s">
        <v>78</v>
      </c>
      <c r="D200" s="143">
        <v>1</v>
      </c>
      <c r="E200" s="130"/>
      <c r="F200" s="151"/>
      <c r="G200" s="131"/>
      <c r="H200" s="1"/>
      <c r="I200" s="1"/>
      <c r="J200" s="1"/>
      <c r="K200" s="1"/>
    </row>
    <row r="201" spans="1:11" x14ac:dyDescent="0.15">
      <c r="A201" s="122"/>
      <c r="D201" s="2" t="s">
        <v>93</v>
      </c>
      <c r="E201" s="127">
        <f>SUM(D200/22)</f>
        <v>4.5454545454545456E-2</v>
      </c>
    </row>
    <row r="202" spans="1:11" x14ac:dyDescent="0.15">
      <c r="A202" s="122"/>
    </row>
    <row r="203" spans="1:11" x14ac:dyDescent="0.15">
      <c r="A203" s="122"/>
      <c r="B203" s="125" t="s">
        <v>94</v>
      </c>
      <c r="C203" s="113"/>
      <c r="D203" s="113"/>
      <c r="E203" s="130"/>
      <c r="F203" s="151"/>
      <c r="G203" s="131"/>
      <c r="H203" s="1"/>
      <c r="I203" s="1"/>
      <c r="J203" s="1"/>
      <c r="K203" s="1"/>
    </row>
    <row r="204" spans="1:11" x14ac:dyDescent="0.15">
      <c r="A204" s="122"/>
      <c r="B204" s="125"/>
      <c r="C204" s="113" t="s">
        <v>78</v>
      </c>
      <c r="D204" s="143">
        <v>1</v>
      </c>
      <c r="E204" s="130"/>
      <c r="F204" s="151"/>
      <c r="G204" s="131"/>
      <c r="H204" s="1"/>
      <c r="I204" s="1"/>
      <c r="J204" s="1"/>
      <c r="K204" s="1"/>
    </row>
    <row r="205" spans="1:11" x14ac:dyDescent="0.15">
      <c r="A205" s="122"/>
      <c r="D205" s="2" t="s">
        <v>93</v>
      </c>
      <c r="E205" s="127">
        <f>SUM(D204/22)</f>
        <v>4.5454545454545456E-2</v>
      </c>
    </row>
    <row r="206" spans="1:11" x14ac:dyDescent="0.15">
      <c r="A206" s="122"/>
    </row>
    <row r="207" spans="1:11" x14ac:dyDescent="0.15">
      <c r="A207" s="122"/>
      <c r="B207" s="125" t="s">
        <v>95</v>
      </c>
      <c r="C207" s="113"/>
      <c r="D207" s="113"/>
      <c r="E207" s="130"/>
      <c r="F207" s="151"/>
      <c r="G207" s="131"/>
      <c r="H207" s="1"/>
      <c r="I207" s="1"/>
      <c r="J207" s="1"/>
      <c r="K207" s="1"/>
    </row>
    <row r="208" spans="1:11" x14ac:dyDescent="0.15">
      <c r="A208" s="122"/>
      <c r="B208" s="125"/>
      <c r="C208" s="113" t="s">
        <v>78</v>
      </c>
      <c r="D208" s="143">
        <v>1</v>
      </c>
      <c r="E208" s="130"/>
      <c r="F208" s="151"/>
      <c r="G208" s="131"/>
      <c r="H208" s="1"/>
      <c r="I208" s="1"/>
      <c r="J208" s="1"/>
      <c r="K208" s="1"/>
    </row>
    <row r="209" spans="1:11" x14ac:dyDescent="0.15">
      <c r="A209" s="122"/>
      <c r="D209" s="2" t="s">
        <v>93</v>
      </c>
      <c r="E209" s="127">
        <f>+D208/20</f>
        <v>0.05</v>
      </c>
    </row>
    <row r="210" spans="1:11" x14ac:dyDescent="0.15">
      <c r="A210" s="122"/>
    </row>
    <row r="211" spans="1:11" x14ac:dyDescent="0.15">
      <c r="A211" s="122"/>
      <c r="B211" s="125" t="s">
        <v>96</v>
      </c>
      <c r="C211" s="113"/>
      <c r="D211" s="113"/>
      <c r="E211" s="130"/>
      <c r="F211" s="151"/>
      <c r="G211" s="131"/>
      <c r="H211" s="1"/>
      <c r="I211" s="1"/>
      <c r="J211" s="1"/>
      <c r="K211" s="1"/>
    </row>
    <row r="212" spans="1:11" x14ac:dyDescent="0.15">
      <c r="A212" s="122"/>
      <c r="B212" s="125"/>
      <c r="C212" s="113" t="s">
        <v>78</v>
      </c>
      <c r="D212" s="143">
        <v>1</v>
      </c>
      <c r="E212" s="130"/>
      <c r="F212" s="151"/>
      <c r="G212" s="131"/>
      <c r="H212" s="1"/>
      <c r="I212" s="1"/>
      <c r="J212" s="1"/>
      <c r="K212" s="1"/>
    </row>
    <row r="213" spans="1:11" x14ac:dyDescent="0.15">
      <c r="A213" s="122"/>
      <c r="D213" s="2" t="s">
        <v>93</v>
      </c>
      <c r="E213" s="127">
        <f>+D212/20</f>
        <v>0.05</v>
      </c>
    </row>
    <row r="214" spans="1:11" x14ac:dyDescent="0.15">
      <c r="A214" s="122"/>
    </row>
    <row r="215" spans="1:11" x14ac:dyDescent="0.15">
      <c r="A215" s="122"/>
      <c r="B215" s="125" t="s">
        <v>151</v>
      </c>
      <c r="C215" s="113"/>
      <c r="D215" s="113"/>
      <c r="E215" s="130"/>
      <c r="F215" s="151"/>
      <c r="G215" s="131"/>
      <c r="H215" s="1"/>
      <c r="I215" s="1"/>
      <c r="J215" s="1"/>
      <c r="K215" s="1"/>
    </row>
    <row r="216" spans="1:11" x14ac:dyDescent="0.15">
      <c r="A216" s="122"/>
      <c r="B216" s="125"/>
      <c r="C216" s="113" t="s">
        <v>84</v>
      </c>
      <c r="D216" s="143">
        <v>1</v>
      </c>
      <c r="E216" s="130"/>
      <c r="F216" s="151"/>
      <c r="G216" s="131"/>
      <c r="H216" s="1"/>
      <c r="I216" s="1"/>
      <c r="J216" s="1"/>
      <c r="K216" s="1"/>
    </row>
    <row r="217" spans="1:11" x14ac:dyDescent="0.15">
      <c r="A217" s="122"/>
      <c r="D217" s="2" t="s">
        <v>80</v>
      </c>
      <c r="E217" s="127">
        <f>+D216/14.4</f>
        <v>6.9444444444444448E-2</v>
      </c>
    </row>
    <row r="218" spans="1:11" x14ac:dyDescent="0.15">
      <c r="A218" s="122"/>
    </row>
    <row r="219" spans="1:11" x14ac:dyDescent="0.15">
      <c r="A219" s="122"/>
      <c r="B219" s="125" t="s">
        <v>97</v>
      </c>
      <c r="C219" s="113"/>
      <c r="D219" s="113"/>
      <c r="E219" s="130"/>
      <c r="F219" s="151"/>
      <c r="G219" s="131"/>
      <c r="H219" s="1"/>
      <c r="I219" s="1"/>
      <c r="J219" s="1"/>
      <c r="K219" s="1"/>
    </row>
    <row r="220" spans="1:11" x14ac:dyDescent="0.15">
      <c r="A220" s="122"/>
      <c r="B220" s="125"/>
      <c r="C220" s="113" t="s">
        <v>21</v>
      </c>
      <c r="D220" s="143">
        <v>0</v>
      </c>
      <c r="E220" s="130"/>
      <c r="F220" s="151"/>
      <c r="G220" s="131"/>
      <c r="H220" s="1"/>
      <c r="I220" s="1"/>
      <c r="J220" s="1"/>
      <c r="K220" s="1"/>
    </row>
    <row r="221" spans="1:11" x14ac:dyDescent="0.15">
      <c r="A221" s="122"/>
      <c r="D221" s="2" t="s">
        <v>98</v>
      </c>
      <c r="E221" s="127">
        <f>+D220*90</f>
        <v>0</v>
      </c>
    </row>
    <row r="222" spans="1:11" x14ac:dyDescent="0.15">
      <c r="A222" s="122"/>
    </row>
    <row r="223" spans="1:11" x14ac:dyDescent="0.15">
      <c r="A223" s="122"/>
      <c r="B223" s="125" t="s">
        <v>111</v>
      </c>
      <c r="C223" s="113"/>
      <c r="D223" s="113"/>
      <c r="E223" s="130"/>
      <c r="F223" s="151"/>
      <c r="G223" s="131"/>
      <c r="H223" s="1"/>
      <c r="I223" s="1"/>
      <c r="J223" s="1"/>
      <c r="K223" s="1"/>
    </row>
    <row r="224" spans="1:11" x14ac:dyDescent="0.15">
      <c r="A224" s="122"/>
      <c r="B224" s="125"/>
      <c r="C224" s="113" t="s">
        <v>84</v>
      </c>
      <c r="D224" s="143">
        <v>1</v>
      </c>
      <c r="E224" s="130"/>
      <c r="F224" s="151"/>
      <c r="G224" s="131"/>
      <c r="H224" s="1"/>
      <c r="I224" s="1"/>
      <c r="J224" s="1"/>
      <c r="K224" s="1"/>
    </row>
    <row r="225" spans="1:11" x14ac:dyDescent="0.15">
      <c r="A225" s="122"/>
      <c r="D225" s="2" t="s">
        <v>112</v>
      </c>
      <c r="E225" s="127">
        <f>+D224/0.02*1.05</f>
        <v>52.5</v>
      </c>
    </row>
    <row r="226" spans="1:11" x14ac:dyDescent="0.15">
      <c r="A226" s="122"/>
      <c r="D226" s="112" t="s">
        <v>150</v>
      </c>
      <c r="E226" s="127">
        <f>+D224/10</f>
        <v>0.1</v>
      </c>
      <c r="F226" s="293" t="s">
        <v>113</v>
      </c>
    </row>
    <row r="227" spans="1:11" x14ac:dyDescent="0.15">
      <c r="A227" s="122"/>
      <c r="D227" s="2" t="s">
        <v>114</v>
      </c>
      <c r="E227" s="127">
        <f>+D224/6</f>
        <v>0.16666666666666666</v>
      </c>
      <c r="F227" s="293" t="s">
        <v>115</v>
      </c>
    </row>
    <row r="228" spans="1:11" x14ac:dyDescent="0.15">
      <c r="A228" s="122"/>
    </row>
    <row r="229" spans="1:11" x14ac:dyDescent="0.15">
      <c r="A229" s="122"/>
      <c r="B229" s="125" t="s">
        <v>116</v>
      </c>
      <c r="C229" s="113"/>
      <c r="D229" s="113"/>
      <c r="E229" s="130"/>
      <c r="F229" s="151"/>
      <c r="G229" s="132"/>
      <c r="H229" s="113"/>
      <c r="I229" s="113"/>
      <c r="J229" s="133"/>
      <c r="K229" s="1"/>
    </row>
    <row r="230" spans="1:11" x14ac:dyDescent="0.15">
      <c r="A230" s="122"/>
      <c r="B230" s="125"/>
      <c r="C230" s="113" t="s">
        <v>84</v>
      </c>
      <c r="D230" s="143">
        <v>1</v>
      </c>
      <c r="E230" s="130"/>
      <c r="F230" s="151"/>
      <c r="G230" s="132"/>
      <c r="H230" s="113"/>
      <c r="I230" s="113"/>
      <c r="J230" s="133"/>
      <c r="K230" s="1"/>
    </row>
    <row r="231" spans="1:11" x14ac:dyDescent="0.15">
      <c r="A231" s="122"/>
      <c r="D231" s="2" t="s">
        <v>16</v>
      </c>
      <c r="E231" s="127">
        <f>+D230*0.02*1.2*1.05</f>
        <v>2.52E-2</v>
      </c>
      <c r="G231" s="134"/>
      <c r="H231" s="2"/>
      <c r="I231" s="2"/>
      <c r="J231" s="127"/>
    </row>
    <row r="232" spans="1:11" x14ac:dyDescent="0.15">
      <c r="A232" s="122"/>
      <c r="D232" s="2" t="s">
        <v>1</v>
      </c>
      <c r="E232" s="127">
        <f>+D230*0.02*8.64*1.05</f>
        <v>0.18144000000000002</v>
      </c>
      <c r="G232" s="134"/>
      <c r="H232" s="2"/>
      <c r="I232" s="2"/>
      <c r="J232" s="121"/>
    </row>
    <row r="233" spans="1:11" x14ac:dyDescent="0.15">
      <c r="A233" s="122"/>
      <c r="D233" s="2" t="s">
        <v>118</v>
      </c>
      <c r="E233" s="127">
        <f>+D230/15*1.05</f>
        <v>7.0000000000000007E-2</v>
      </c>
      <c r="G233" s="134"/>
      <c r="H233" s="2"/>
      <c r="I233" s="2"/>
      <c r="J233" s="121"/>
    </row>
    <row r="234" spans="1:11" x14ac:dyDescent="0.15">
      <c r="A234" s="122"/>
      <c r="D234" s="2" t="s">
        <v>104</v>
      </c>
      <c r="E234" s="127">
        <f>+D230/8*1.05</f>
        <v>0.13125000000000001</v>
      </c>
      <c r="G234" s="134"/>
      <c r="H234" s="2"/>
      <c r="I234" s="2"/>
      <c r="J234" s="121"/>
    </row>
    <row r="235" spans="1:11" x14ac:dyDescent="0.15">
      <c r="A235" s="122"/>
      <c r="D235" s="2" t="s">
        <v>119</v>
      </c>
      <c r="E235" s="127">
        <f>+D230/13.8*3*1.05</f>
        <v>0.22826086956521743</v>
      </c>
      <c r="G235" s="134"/>
      <c r="H235" s="2"/>
      <c r="I235" s="2"/>
      <c r="J235" s="121"/>
    </row>
    <row r="236" spans="1:11" x14ac:dyDescent="0.15">
      <c r="A236" s="122"/>
    </row>
    <row r="237" spans="1:11" x14ac:dyDescent="0.15">
      <c r="A237" s="122"/>
      <c r="B237" s="125" t="s">
        <v>103</v>
      </c>
      <c r="C237" s="113"/>
      <c r="D237" s="113"/>
      <c r="E237" s="130"/>
      <c r="F237" s="151"/>
      <c r="G237" s="132"/>
      <c r="H237" s="113"/>
      <c r="I237" s="113"/>
      <c r="J237" s="133"/>
      <c r="K237" s="1"/>
    </row>
    <row r="238" spans="1:11" x14ac:dyDescent="0.15">
      <c r="A238" s="122"/>
      <c r="B238" s="125"/>
      <c r="C238" s="113" t="s">
        <v>84</v>
      </c>
      <c r="D238" s="143">
        <v>220</v>
      </c>
      <c r="E238" s="130"/>
      <c r="F238" s="151"/>
      <c r="G238" s="132"/>
      <c r="H238" s="113"/>
      <c r="I238" s="113"/>
      <c r="J238" s="133"/>
      <c r="K238" s="1"/>
    </row>
    <row r="239" spans="1:11" x14ac:dyDescent="0.15">
      <c r="A239" s="122"/>
      <c r="D239" s="2" t="s">
        <v>16</v>
      </c>
      <c r="E239" s="127">
        <f>+D238*0.02*1.1*1.05</f>
        <v>5.0820000000000007</v>
      </c>
      <c r="G239" s="134"/>
      <c r="H239" s="2"/>
      <c r="I239" s="2"/>
      <c r="J239" s="121"/>
    </row>
    <row r="240" spans="1:11" x14ac:dyDescent="0.15">
      <c r="A240" s="122"/>
      <c r="D240" s="2" t="s">
        <v>1</v>
      </c>
      <c r="E240" s="127">
        <f>+D238*0.02*10.56*1.05</f>
        <v>48.787200000000006</v>
      </c>
      <c r="G240" s="134"/>
      <c r="H240" s="2"/>
      <c r="I240" s="2"/>
      <c r="J240" s="121"/>
    </row>
    <row r="241" spans="1:11" x14ac:dyDescent="0.15">
      <c r="A241" s="122"/>
      <c r="D241" s="2" t="s">
        <v>104</v>
      </c>
      <c r="E241" s="127">
        <f>+D238/8*1.05</f>
        <v>28.875</v>
      </c>
      <c r="G241" s="134"/>
      <c r="H241" s="2"/>
      <c r="I241" s="2"/>
      <c r="J241" s="121"/>
    </row>
    <row r="242" spans="1:11" x14ac:dyDescent="0.15">
      <c r="A242" s="122"/>
      <c r="D242" s="2" t="s">
        <v>105</v>
      </c>
      <c r="E242" s="127">
        <f>+D238/13.8*3*1.05</f>
        <v>50.217391304347821</v>
      </c>
      <c r="G242" s="134"/>
      <c r="H242" s="2"/>
      <c r="I242" s="2"/>
      <c r="J242" s="121"/>
    </row>
    <row r="243" spans="1:11" x14ac:dyDescent="0.15">
      <c r="A243" s="122"/>
    </row>
    <row r="244" spans="1:11" x14ac:dyDescent="0.15">
      <c r="A244" s="122"/>
      <c r="B244" s="152" t="s">
        <v>117</v>
      </c>
      <c r="C244" s="113"/>
      <c r="D244" s="113"/>
      <c r="E244" s="130"/>
      <c r="F244" s="133"/>
      <c r="G244" s="132"/>
      <c r="H244" s="113"/>
      <c r="I244" s="113"/>
      <c r="J244" s="133"/>
      <c r="K244" s="1"/>
    </row>
    <row r="245" spans="1:11" x14ac:dyDescent="0.15">
      <c r="A245" s="122"/>
      <c r="B245" s="152"/>
      <c r="C245" s="113" t="s">
        <v>84</v>
      </c>
      <c r="D245" s="143">
        <v>872</v>
      </c>
      <c r="E245" s="130"/>
      <c r="F245" s="133"/>
      <c r="G245" s="132"/>
      <c r="H245" s="113"/>
      <c r="I245" s="113"/>
      <c r="J245" s="133"/>
      <c r="K245" s="1"/>
    </row>
    <row r="246" spans="1:11" x14ac:dyDescent="0.15">
      <c r="A246" s="122"/>
      <c r="B246" s="153"/>
      <c r="D246" s="2" t="s">
        <v>16</v>
      </c>
      <c r="E246" s="127">
        <v>0</v>
      </c>
      <c r="F246" s="127"/>
      <c r="G246" s="134"/>
      <c r="H246" s="2"/>
      <c r="I246" s="137"/>
      <c r="J246" s="121"/>
    </row>
    <row r="247" spans="1:11" x14ac:dyDescent="0.15">
      <c r="A247" s="122"/>
      <c r="B247" s="153"/>
      <c r="D247" s="2" t="s">
        <v>1</v>
      </c>
      <c r="E247" s="127">
        <v>0</v>
      </c>
      <c r="F247" s="121"/>
      <c r="G247" s="157"/>
      <c r="H247" s="112"/>
      <c r="I247" s="112"/>
      <c r="J247" s="121"/>
    </row>
    <row r="248" spans="1:11" x14ac:dyDescent="0.15">
      <c r="A248" s="122"/>
      <c r="B248" s="153"/>
      <c r="D248" s="2" t="s">
        <v>118</v>
      </c>
      <c r="E248" s="127">
        <v>0</v>
      </c>
      <c r="F248" s="121"/>
      <c r="G248" s="134"/>
      <c r="H248" s="137"/>
      <c r="I248" s="137"/>
      <c r="J248" s="121"/>
    </row>
    <row r="249" spans="1:11" x14ac:dyDescent="0.15">
      <c r="A249" s="122"/>
      <c r="B249" s="153"/>
      <c r="D249" s="2" t="s">
        <v>104</v>
      </c>
      <c r="E249" s="127">
        <f>+D245/13.8*1.05</f>
        <v>66.347826086956516</v>
      </c>
      <c r="F249" s="121"/>
      <c r="G249" s="134"/>
      <c r="H249" s="2"/>
      <c r="I249" s="2"/>
      <c r="J249" s="121"/>
    </row>
    <row r="250" spans="1:11" x14ac:dyDescent="0.15">
      <c r="A250" s="122"/>
      <c r="B250" s="153"/>
      <c r="D250" s="2" t="s">
        <v>119</v>
      </c>
      <c r="E250" s="127">
        <f>+D245/13.8*3*1.05</f>
        <v>199.04347826086956</v>
      </c>
      <c r="F250" s="121"/>
      <c r="G250" s="134"/>
      <c r="H250" s="2"/>
      <c r="I250" s="2"/>
      <c r="J250" s="121"/>
    </row>
    <row r="251" spans="1:11" x14ac:dyDescent="0.15">
      <c r="A251" s="122"/>
      <c r="B251" s="92"/>
      <c r="C251"/>
      <c r="D251"/>
      <c r="F251"/>
    </row>
    <row r="252" spans="1:11" ht="12.75" customHeight="1" x14ac:dyDescent="0.15">
      <c r="A252" s="122"/>
      <c r="B252" s="152" t="s">
        <v>148</v>
      </c>
      <c r="C252" s="113"/>
      <c r="D252" s="113"/>
      <c r="E252" s="130"/>
      <c r="F252" s="133"/>
      <c r="G252" s="132"/>
      <c r="H252" s="113"/>
      <c r="I252" s="113"/>
      <c r="J252" s="121"/>
    </row>
    <row r="253" spans="1:11" x14ac:dyDescent="0.15">
      <c r="A253" s="122"/>
      <c r="B253" s="152"/>
      <c r="C253" s="113" t="s">
        <v>84</v>
      </c>
      <c r="D253" s="143">
        <v>1</v>
      </c>
      <c r="E253" s="130"/>
      <c r="F253" s="133"/>
      <c r="G253" s="134"/>
      <c r="H253" s="2"/>
      <c r="I253" s="2"/>
      <c r="J253" s="121"/>
    </row>
    <row r="254" spans="1:11" x14ac:dyDescent="0.15">
      <c r="A254" s="122"/>
      <c r="B254" s="153"/>
      <c r="D254" s="2" t="s">
        <v>16</v>
      </c>
      <c r="E254" s="127">
        <v>0</v>
      </c>
      <c r="F254" s="121"/>
    </row>
    <row r="255" spans="1:11" x14ac:dyDescent="0.15">
      <c r="A255" s="122"/>
      <c r="B255" s="153"/>
      <c r="D255" s="2" t="s">
        <v>1</v>
      </c>
      <c r="E255" s="127">
        <v>0</v>
      </c>
      <c r="F255" s="121"/>
      <c r="G255" s="131"/>
      <c r="H255" s="1"/>
      <c r="I255" s="1"/>
      <c r="J255" s="1"/>
    </row>
    <row r="256" spans="1:11" x14ac:dyDescent="0.15">
      <c r="A256" s="122"/>
      <c r="B256" s="153"/>
      <c r="D256" s="2" t="s">
        <v>104</v>
      </c>
      <c r="E256" s="127">
        <f>+D253/13.8*1.05</f>
        <v>7.6086956521739135E-2</v>
      </c>
      <c r="F256" s="121"/>
      <c r="G256" s="131"/>
      <c r="H256" s="139"/>
      <c r="I256" s="111"/>
      <c r="J256" s="1"/>
    </row>
    <row r="257" spans="1:11" x14ac:dyDescent="0.15">
      <c r="A257" s="122"/>
      <c r="B257" s="153"/>
      <c r="D257" s="2" t="s">
        <v>105</v>
      </c>
      <c r="E257" s="127">
        <f>+D253/13.8*3*1.05</f>
        <v>0.22826086956521743</v>
      </c>
      <c r="F257" s="121"/>
      <c r="G257" s="131"/>
      <c r="I257" s="137"/>
      <c r="J257" s="136"/>
    </row>
    <row r="258" spans="1:11" x14ac:dyDescent="0.15">
      <c r="A258" s="122"/>
      <c r="B258" s="92"/>
      <c r="C258"/>
      <c r="D258"/>
      <c r="F258"/>
      <c r="G258" s="131"/>
      <c r="I258" s="137"/>
      <c r="J258" s="136"/>
    </row>
    <row r="259" spans="1:11" x14ac:dyDescent="0.15">
      <c r="A259" s="122"/>
      <c r="B259" s="152" t="s">
        <v>121</v>
      </c>
      <c r="C259" s="113"/>
      <c r="D259" s="113"/>
      <c r="E259" s="130"/>
      <c r="F259" s="133"/>
      <c r="G259" s="131"/>
      <c r="I259" s="137"/>
      <c r="J259" s="136"/>
    </row>
    <row r="260" spans="1:11" x14ac:dyDescent="0.15">
      <c r="A260" s="122"/>
      <c r="B260" s="152"/>
      <c r="C260" s="113" t="s">
        <v>84</v>
      </c>
      <c r="D260" s="143">
        <v>1</v>
      </c>
      <c r="E260" s="130"/>
      <c r="F260" s="133"/>
      <c r="G260" s="131"/>
      <c r="I260" s="137"/>
      <c r="J260" s="136"/>
    </row>
    <row r="261" spans="1:11" x14ac:dyDescent="0.15">
      <c r="A261" s="122"/>
      <c r="B261" s="153"/>
      <c r="D261" s="137" t="s">
        <v>9</v>
      </c>
      <c r="E261" s="127">
        <v>0</v>
      </c>
      <c r="F261" s="121"/>
      <c r="G261" s="131"/>
      <c r="I261" s="137"/>
      <c r="J261" s="136"/>
    </row>
    <row r="262" spans="1:11" x14ac:dyDescent="0.15">
      <c r="A262" s="122"/>
      <c r="B262" s="158"/>
      <c r="C262" s="112" t="s">
        <v>146</v>
      </c>
      <c r="D262" s="112" t="s">
        <v>147</v>
      </c>
      <c r="E262" s="127">
        <v>0</v>
      </c>
      <c r="F262" s="121"/>
      <c r="G262" s="131"/>
      <c r="I262" s="137"/>
      <c r="J262" s="136"/>
    </row>
    <row r="263" spans="1:11" x14ac:dyDescent="0.15">
      <c r="A263" s="122"/>
      <c r="B263" s="153"/>
      <c r="C263" s="137"/>
      <c r="D263" s="137" t="s">
        <v>122</v>
      </c>
      <c r="E263" s="127">
        <f>+D260/11.38*2*1.05</f>
        <v>0.18453427065026362</v>
      </c>
      <c r="F263" s="121"/>
      <c r="G263" s="131"/>
      <c r="I263" s="137"/>
      <c r="J263" s="136"/>
    </row>
    <row r="264" spans="1:11" x14ac:dyDescent="0.15">
      <c r="A264" s="122"/>
      <c r="B264" s="153"/>
      <c r="D264" s="2" t="s">
        <v>123</v>
      </c>
      <c r="E264" s="127">
        <v>0</v>
      </c>
      <c r="F264" s="121"/>
      <c r="G264" s="131"/>
      <c r="I264" s="137"/>
      <c r="J264" s="136"/>
    </row>
    <row r="265" spans="1:11" x14ac:dyDescent="0.15">
      <c r="A265" s="122"/>
      <c r="B265" s="153"/>
      <c r="D265" s="2" t="s">
        <v>10</v>
      </c>
      <c r="E265" s="127">
        <v>0</v>
      </c>
      <c r="F265" s="121"/>
      <c r="G265" s="131"/>
      <c r="I265" s="137"/>
      <c r="J265" s="136"/>
    </row>
    <row r="266" spans="1:11" x14ac:dyDescent="0.15">
      <c r="A266" s="122"/>
      <c r="G266" s="131"/>
      <c r="I266" s="137"/>
      <c r="J266" s="136"/>
    </row>
    <row r="267" spans="1:11" x14ac:dyDescent="0.15">
      <c r="A267" s="122"/>
      <c r="B267" s="125" t="s">
        <v>120</v>
      </c>
      <c r="C267" s="113"/>
      <c r="D267" s="113"/>
      <c r="E267" s="130"/>
      <c r="F267" s="151"/>
      <c r="G267" s="131"/>
      <c r="I267" s="137"/>
      <c r="J267" s="140"/>
    </row>
    <row r="268" spans="1:11" x14ac:dyDescent="0.15">
      <c r="A268" s="122"/>
      <c r="B268" s="125"/>
      <c r="C268" s="113" t="s">
        <v>84</v>
      </c>
      <c r="D268" s="143">
        <v>74</v>
      </c>
      <c r="E268" s="130"/>
      <c r="F268" s="151"/>
      <c r="I268" s="140"/>
      <c r="J268" s="140"/>
      <c r="K268" s="1"/>
    </row>
    <row r="269" spans="1:11" x14ac:dyDescent="0.15">
      <c r="A269" s="122"/>
      <c r="D269" s="137" t="s">
        <v>9</v>
      </c>
      <c r="E269" s="127">
        <f>+D268/5*1.05</f>
        <v>15.540000000000001</v>
      </c>
      <c r="H269" s="1"/>
      <c r="I269" s="1"/>
      <c r="J269" s="1"/>
      <c r="K269" s="1"/>
    </row>
    <row r="270" spans="1:11" x14ac:dyDescent="0.15">
      <c r="A270" s="122"/>
      <c r="B270" s="156"/>
      <c r="C270" s="112" t="s">
        <v>146</v>
      </c>
      <c r="D270" s="112" t="s">
        <v>642</v>
      </c>
      <c r="E270" s="127">
        <f>+D268/5.83</f>
        <v>12.692967409948542</v>
      </c>
      <c r="H270" s="1"/>
      <c r="I270" s="1"/>
      <c r="J270" s="1"/>
    </row>
    <row r="271" spans="1:11" x14ac:dyDescent="0.15">
      <c r="A271" s="122"/>
      <c r="C271" s="137"/>
      <c r="D271" s="137" t="s">
        <v>122</v>
      </c>
      <c r="E271" s="127">
        <f>+D268/11.38*2*1.05</f>
        <v>13.655536028119508</v>
      </c>
      <c r="H271" s="1"/>
      <c r="I271" s="1"/>
      <c r="J271" s="1"/>
    </row>
    <row r="272" spans="1:11" x14ac:dyDescent="0.15">
      <c r="A272" s="122"/>
      <c r="D272" s="2" t="s">
        <v>123</v>
      </c>
      <c r="E272" s="127">
        <f>+D268*10.5</f>
        <v>777</v>
      </c>
      <c r="G272" s="134"/>
      <c r="H272" s="2"/>
      <c r="I272" s="2"/>
      <c r="J272" s="121"/>
    </row>
    <row r="273" spans="1:10" x14ac:dyDescent="0.15">
      <c r="A273" s="122"/>
      <c r="D273" s="2" t="s">
        <v>10</v>
      </c>
      <c r="E273" s="127">
        <f>+D268*2.5*2</f>
        <v>370</v>
      </c>
    </row>
    <row r="274" spans="1:10" x14ac:dyDescent="0.15">
      <c r="A274" s="122"/>
      <c r="D274" s="2" t="s">
        <v>124</v>
      </c>
      <c r="E274" s="127">
        <f>+D268/5*1.05*0.25</f>
        <v>3.8850000000000002</v>
      </c>
      <c r="G274" s="131"/>
      <c r="H274" s="1"/>
      <c r="I274" s="1"/>
      <c r="J274" s="1"/>
    </row>
    <row r="275" spans="1:10" x14ac:dyDescent="0.15">
      <c r="A275" s="122"/>
      <c r="B275" s="92"/>
      <c r="C275"/>
      <c r="D275" s="140"/>
      <c r="F275" s="140"/>
      <c r="G275" s="131"/>
      <c r="J275" s="121"/>
    </row>
    <row r="276" spans="1:10" x14ac:dyDescent="0.15">
      <c r="A276" s="122"/>
      <c r="B276" s="138" t="s">
        <v>125</v>
      </c>
      <c r="G276" s="131"/>
      <c r="J276" s="121"/>
    </row>
    <row r="277" spans="1:10" x14ac:dyDescent="0.15">
      <c r="A277" s="122"/>
      <c r="B277" s="125" t="s">
        <v>127</v>
      </c>
      <c r="C277" s="113"/>
      <c r="D277" s="113"/>
      <c r="E277" s="130"/>
      <c r="F277" s="151"/>
      <c r="J277" s="121"/>
    </row>
    <row r="278" spans="1:10" x14ac:dyDescent="0.15">
      <c r="A278" s="122"/>
      <c r="B278" s="125"/>
      <c r="C278" s="113" t="s">
        <v>84</v>
      </c>
      <c r="D278" s="143">
        <v>1</v>
      </c>
      <c r="E278" s="130"/>
      <c r="F278" s="151"/>
    </row>
    <row r="279" spans="1:10" x14ac:dyDescent="0.15">
      <c r="A279" s="122"/>
      <c r="D279" s="2" t="s">
        <v>22</v>
      </c>
      <c r="E279" s="127">
        <f>+D278*14*1.05</f>
        <v>14.700000000000001</v>
      </c>
    </row>
    <row r="280" spans="1:10" ht="7.5" customHeight="1" x14ac:dyDescent="0.15">
      <c r="A280" s="122"/>
      <c r="H280" s="1"/>
      <c r="I280" s="1"/>
      <c r="J280" s="1"/>
    </row>
    <row r="281" spans="1:10" x14ac:dyDescent="0.15">
      <c r="A281" s="122"/>
      <c r="B281" s="151" t="s">
        <v>126</v>
      </c>
      <c r="C281" s="1"/>
      <c r="D281" s="1"/>
      <c r="E281" s="130"/>
      <c r="F281" s="1"/>
      <c r="H281" s="113"/>
      <c r="I281" s="125"/>
      <c r="J281" s="1"/>
    </row>
    <row r="282" spans="1:10" x14ac:dyDescent="0.15">
      <c r="A282" s="122"/>
      <c r="B282" s="151"/>
      <c r="C282" s="139" t="s">
        <v>78</v>
      </c>
      <c r="D282" s="144">
        <v>1</v>
      </c>
      <c r="E282" s="130"/>
      <c r="F282" s="1"/>
      <c r="G282" s="131"/>
      <c r="J282" s="121"/>
    </row>
    <row r="283" spans="1:10" x14ac:dyDescent="0.15">
      <c r="A283" s="122"/>
      <c r="B283"/>
      <c r="C283" s="151"/>
      <c r="D283" s="137" t="s">
        <v>22</v>
      </c>
      <c r="E283" s="127">
        <f>+D282/0.0225*1.05</f>
        <v>46.666666666666664</v>
      </c>
      <c r="F283" s="136"/>
      <c r="G283" s="131"/>
      <c r="J283" s="121"/>
    </row>
    <row r="284" spans="1:10" x14ac:dyDescent="0.15">
      <c r="A284" s="122"/>
      <c r="B284"/>
      <c r="C284" s="151"/>
      <c r="D284" s="137" t="s">
        <v>16</v>
      </c>
      <c r="E284" s="127">
        <f>+D282*0.0599*1.05</f>
        <v>6.2895000000000006E-2</v>
      </c>
      <c r="F284" s="140"/>
      <c r="J284" s="121"/>
    </row>
    <row r="285" spans="1:10" x14ac:dyDescent="0.15">
      <c r="A285" s="122"/>
      <c r="B285"/>
      <c r="C285" s="92"/>
      <c r="D285" s="140" t="s">
        <v>1</v>
      </c>
      <c r="E285" s="127">
        <f>+D282*0.3313*1.05</f>
        <v>0.34786499999999998</v>
      </c>
      <c r="F285" s="140"/>
    </row>
    <row r="286" spans="1:10" ht="6.75" customHeight="1" x14ac:dyDescent="0.15">
      <c r="A286" s="122"/>
      <c r="H286" s="1"/>
      <c r="I286" s="1"/>
    </row>
    <row r="287" spans="1:10" x14ac:dyDescent="0.15">
      <c r="A287" s="122"/>
      <c r="B287" s="125" t="s">
        <v>128</v>
      </c>
      <c r="C287" s="113"/>
      <c r="D287" s="113"/>
      <c r="E287" s="130"/>
      <c r="F287" s="151"/>
      <c r="H287" s="1"/>
      <c r="I287" s="1"/>
      <c r="J287" s="113"/>
    </row>
    <row r="288" spans="1:10" x14ac:dyDescent="0.15">
      <c r="A288" s="122"/>
      <c r="B288" s="125"/>
      <c r="C288" s="113" t="s">
        <v>84</v>
      </c>
      <c r="D288" s="143">
        <v>1</v>
      </c>
      <c r="E288" s="130"/>
      <c r="F288" s="151"/>
      <c r="G288" s="131"/>
      <c r="H288" s="142"/>
      <c r="J288" s="121"/>
    </row>
    <row r="289" spans="1:10" x14ac:dyDescent="0.15">
      <c r="A289" s="122"/>
      <c r="B289"/>
      <c r="C289" s="120"/>
      <c r="D289" s="2" t="s">
        <v>98</v>
      </c>
      <c r="E289" s="127">
        <f>+D288*0.1</f>
        <v>0.1</v>
      </c>
      <c r="G289" s="131"/>
      <c r="I289" s="1"/>
      <c r="J289" s="121"/>
    </row>
    <row r="290" spans="1:10" ht="7.5" customHeight="1" x14ac:dyDescent="0.15">
      <c r="A290" s="122"/>
      <c r="G290" s="150"/>
      <c r="J290" s="2"/>
    </row>
    <row r="291" spans="1:10" x14ac:dyDescent="0.15">
      <c r="A291" s="122"/>
      <c r="B291" s="120" t="s">
        <v>129</v>
      </c>
      <c r="C291" s="2" t="s">
        <v>84</v>
      </c>
      <c r="D291" s="143">
        <v>1</v>
      </c>
      <c r="G291" s="131"/>
    </row>
    <row r="292" spans="1:10" x14ac:dyDescent="0.15">
      <c r="A292" s="122"/>
      <c r="B292"/>
      <c r="C292" s="120"/>
      <c r="D292" s="2" t="s">
        <v>78</v>
      </c>
      <c r="E292" s="127">
        <f>+D291*3.2</f>
        <v>3.2</v>
      </c>
    </row>
    <row r="293" spans="1:10" ht="6" customHeight="1" x14ac:dyDescent="0.15">
      <c r="A293" s="122"/>
    </row>
    <row r="294" spans="1:10" x14ac:dyDescent="0.15">
      <c r="A294" s="122"/>
      <c r="B294" s="1" t="s">
        <v>131</v>
      </c>
      <c r="C294" s="1"/>
      <c r="D294" s="1"/>
      <c r="E294" s="130"/>
      <c r="H294" s="2"/>
      <c r="I294" s="2"/>
      <c r="J294" s="121"/>
    </row>
    <row r="295" spans="1:10" x14ac:dyDescent="0.15">
      <c r="A295" s="122"/>
      <c r="B295" s="1"/>
      <c r="C295" s="1" t="s">
        <v>78</v>
      </c>
      <c r="D295" s="143">
        <v>2</v>
      </c>
      <c r="E295" s="130"/>
      <c r="H295" s="113"/>
      <c r="I295" s="113"/>
      <c r="J295" s="121"/>
    </row>
    <row r="296" spans="1:10" x14ac:dyDescent="0.15">
      <c r="A296" s="122"/>
      <c r="B296" s="1"/>
      <c r="C296" s="137" t="s">
        <v>133</v>
      </c>
      <c r="D296" s="112" t="s">
        <v>149</v>
      </c>
      <c r="E296" s="127">
        <f>+D295/11.96*1.05*2</f>
        <v>0.3511705685618729</v>
      </c>
      <c r="G296" s="134"/>
      <c r="J296" s="121"/>
    </row>
    <row r="297" spans="1:10" x14ac:dyDescent="0.15">
      <c r="A297" s="122"/>
      <c r="G297" s="134"/>
      <c r="H297" s="2"/>
      <c r="I297" s="2"/>
      <c r="J297" s="121"/>
    </row>
    <row r="298" spans="1:10" x14ac:dyDescent="0.15">
      <c r="A298" s="122"/>
      <c r="B298" s="1" t="s">
        <v>135</v>
      </c>
      <c r="C298" s="1"/>
      <c r="D298" s="1"/>
      <c r="E298" s="130"/>
      <c r="G298" s="134"/>
      <c r="H298" s="2"/>
      <c r="I298" s="121"/>
    </row>
    <row r="299" spans="1:10" x14ac:dyDescent="0.15">
      <c r="A299" s="122"/>
      <c r="B299" s="1"/>
      <c r="C299" s="1" t="s">
        <v>78</v>
      </c>
      <c r="D299" s="143">
        <v>1</v>
      </c>
      <c r="E299" s="130"/>
      <c r="G299" s="134"/>
      <c r="H299" s="2"/>
      <c r="I299" s="2"/>
      <c r="J299" s="121"/>
    </row>
    <row r="300" spans="1:10" x14ac:dyDescent="0.15">
      <c r="A300" s="122"/>
      <c r="B300" s="1"/>
      <c r="C300" s="137" t="s">
        <v>133</v>
      </c>
      <c r="D300" s="112" t="s">
        <v>149</v>
      </c>
      <c r="E300" s="127">
        <f>+D299/11.96*1.05*2</f>
        <v>0.17558528428093645</v>
      </c>
      <c r="G300" s="132"/>
      <c r="I300" s="2"/>
      <c r="J300" s="121"/>
    </row>
    <row r="301" spans="1:10" x14ac:dyDescent="0.15">
      <c r="A301" s="122"/>
      <c r="G301" s="134"/>
      <c r="H301" s="2"/>
      <c r="I301" s="2"/>
      <c r="J301" s="121"/>
    </row>
    <row r="302" spans="1:10" x14ac:dyDescent="0.15">
      <c r="A302" s="122"/>
      <c r="B302" s="151" t="s">
        <v>130</v>
      </c>
      <c r="C302" s="1"/>
      <c r="D302" s="1"/>
      <c r="E302" s="130"/>
      <c r="G302" s="134"/>
      <c r="H302" s="2"/>
      <c r="I302" s="2"/>
      <c r="J302" s="121"/>
    </row>
    <row r="303" spans="1:10" ht="15" x14ac:dyDescent="0.15">
      <c r="A303" s="122"/>
      <c r="B303" s="153"/>
      <c r="C303" s="113" t="s">
        <v>77</v>
      </c>
      <c r="D303" s="166">
        <v>1</v>
      </c>
      <c r="E303" s="130"/>
    </row>
    <row r="304" spans="1:10" x14ac:dyDescent="0.15">
      <c r="A304" s="122"/>
      <c r="B304"/>
      <c r="C304" s="153"/>
      <c r="D304" t="s">
        <v>112</v>
      </c>
      <c r="E304" s="127">
        <f>+D303/0.09*1.05</f>
        <v>11.666666666666666</v>
      </c>
      <c r="F304" s="121"/>
    </row>
    <row r="305" spans="1:6" x14ac:dyDescent="0.15">
      <c r="A305" s="122"/>
      <c r="B305"/>
      <c r="C305" s="153"/>
      <c r="D305" t="s">
        <v>7</v>
      </c>
      <c r="E305" s="127">
        <f>+D303/10</f>
        <v>0.1</v>
      </c>
      <c r="F305" s="121"/>
    </row>
    <row r="306" spans="1:6" x14ac:dyDescent="0.15">
      <c r="A306" s="122"/>
      <c r="B306"/>
      <c r="C306" s="153"/>
      <c r="D306" t="s">
        <v>132</v>
      </c>
      <c r="E306" s="127">
        <f>+D303/6</f>
        <v>0.16666666666666666</v>
      </c>
      <c r="F306" s="121"/>
    </row>
    <row r="307" spans="1:6" x14ac:dyDescent="0.15">
      <c r="A307" s="122"/>
      <c r="B307" s="153"/>
      <c r="C307" s="92"/>
      <c r="D307"/>
      <c r="F307"/>
    </row>
    <row r="308" spans="1:6" x14ac:dyDescent="0.15">
      <c r="A308" s="122"/>
      <c r="B308" s="151" t="s">
        <v>134</v>
      </c>
      <c r="C308" s="151"/>
      <c r="D308" s="1"/>
      <c r="E308" s="130"/>
    </row>
    <row r="309" spans="1:6" ht="15" x14ac:dyDescent="0.15">
      <c r="A309" s="122"/>
      <c r="B309" s="153"/>
      <c r="C309" s="113" t="s">
        <v>77</v>
      </c>
      <c r="D309" s="143">
        <v>1</v>
      </c>
      <c r="E309" s="130"/>
    </row>
    <row r="310" spans="1:6" x14ac:dyDescent="0.15">
      <c r="A310" s="122"/>
      <c r="B310"/>
      <c r="C310" s="153"/>
      <c r="D310" t="s">
        <v>112</v>
      </c>
      <c r="E310" s="127">
        <f>+D309/0.0225*1.05</f>
        <v>46.666666666666664</v>
      </c>
      <c r="F310" s="121"/>
    </row>
    <row r="311" spans="1:6" x14ac:dyDescent="0.15">
      <c r="A311" s="122"/>
      <c r="B311" s="153"/>
      <c r="C311" s="92"/>
      <c r="D311"/>
      <c r="F311"/>
    </row>
    <row r="312" spans="1:6" x14ac:dyDescent="0.15">
      <c r="A312" s="122"/>
      <c r="B312" s="151" t="s">
        <v>136</v>
      </c>
      <c r="C312" s="151"/>
      <c r="D312" s="1"/>
      <c r="E312" s="130"/>
    </row>
    <row r="313" spans="1:6" x14ac:dyDescent="0.15">
      <c r="A313" s="122"/>
      <c r="B313" s="153"/>
      <c r="C313" s="1" t="s">
        <v>78</v>
      </c>
      <c r="D313" s="143">
        <v>1</v>
      </c>
      <c r="E313" s="113"/>
    </row>
    <row r="314" spans="1:6" x14ac:dyDescent="0.15">
      <c r="A314" s="122"/>
      <c r="B314" s="154" t="s">
        <v>137</v>
      </c>
      <c r="C314" s="142"/>
      <c r="D314" s="160"/>
      <c r="E314" s="121">
        <f>+D313/0.75*1.05</f>
        <v>1.4</v>
      </c>
    </row>
    <row r="315" spans="1:6" x14ac:dyDescent="0.15">
      <c r="A315" s="122"/>
      <c r="B315" s="153"/>
      <c r="C315" s="137" t="s">
        <v>138</v>
      </c>
      <c r="D315" s="141"/>
      <c r="E315" s="121">
        <f>+D313/10.12*1.05</f>
        <v>0.10375494071146246</v>
      </c>
    </row>
    <row r="316" spans="1:6" x14ac:dyDescent="0.15">
      <c r="A316" s="122"/>
      <c r="B316" s="153"/>
      <c r="C316" s="92"/>
      <c r="D316"/>
      <c r="F316"/>
    </row>
    <row r="317" spans="1:6" x14ac:dyDescent="0.15">
      <c r="A317" s="122"/>
      <c r="B317" s="152" t="s">
        <v>139</v>
      </c>
      <c r="C317" s="155"/>
    </row>
    <row r="318" spans="1:6" ht="15" x14ac:dyDescent="0.15">
      <c r="A318" s="122"/>
      <c r="B318" s="153"/>
      <c r="C318" s="113" t="s">
        <v>77</v>
      </c>
      <c r="D318" s="143">
        <v>30</v>
      </c>
    </row>
    <row r="319" spans="1:6" x14ac:dyDescent="0.15">
      <c r="A319" s="122"/>
      <c r="B319" s="153"/>
      <c r="C319" s="153"/>
      <c r="D319" s="2" t="s">
        <v>104</v>
      </c>
      <c r="E319" s="127">
        <f>+D318/11.96*1.05</f>
        <v>2.6337792642140467</v>
      </c>
    </row>
    <row r="320" spans="1:6" x14ac:dyDescent="0.15">
      <c r="A320" s="122"/>
      <c r="B320" s="153"/>
      <c r="C320" s="153"/>
      <c r="D320" s="2" t="s">
        <v>140</v>
      </c>
      <c r="E320" s="127">
        <f>+D318/11.96*1.05</f>
        <v>2.6337792642140467</v>
      </c>
    </row>
    <row r="321" spans="1:6" x14ac:dyDescent="0.15">
      <c r="A321" s="122"/>
      <c r="B321" s="153"/>
      <c r="C321" s="153"/>
      <c r="D321" s="2" t="s">
        <v>141</v>
      </c>
      <c r="E321" s="127">
        <f>+D318/11.96*1.05*2</f>
        <v>5.2675585284280935</v>
      </c>
    </row>
    <row r="322" spans="1:6" x14ac:dyDescent="0.15">
      <c r="A322" s="122"/>
      <c r="B322" s="153"/>
      <c r="C322" s="153"/>
      <c r="F322" s="121"/>
    </row>
    <row r="323" spans="1:6" x14ac:dyDescent="0.15">
      <c r="A323" s="122"/>
      <c r="B323" s="152" t="s">
        <v>142</v>
      </c>
      <c r="C323" s="155"/>
    </row>
    <row r="324" spans="1:6" ht="15" x14ac:dyDescent="0.15">
      <c r="A324" s="122"/>
      <c r="C324" s="113" t="s">
        <v>77</v>
      </c>
      <c r="D324" s="143">
        <v>50</v>
      </c>
      <c r="E324" s="121"/>
    </row>
    <row r="325" spans="1:6" x14ac:dyDescent="0.15">
      <c r="A325" s="122"/>
      <c r="C325" s="2" t="s">
        <v>104</v>
      </c>
      <c r="D325" s="127"/>
      <c r="E325" s="121">
        <f>+D324/11.96*1.05</f>
        <v>4.3896321070234112</v>
      </c>
    </row>
    <row r="326" spans="1:6" x14ac:dyDescent="0.15">
      <c r="A326" s="122"/>
      <c r="C326" s="2" t="s">
        <v>143</v>
      </c>
      <c r="D326" s="127"/>
      <c r="E326" s="121">
        <f>+D324/11.96*1.05</f>
        <v>4.3896321070234112</v>
      </c>
    </row>
    <row r="327" spans="1:6" x14ac:dyDescent="0.15">
      <c r="A327" s="122"/>
      <c r="C327" s="2" t="s">
        <v>141</v>
      </c>
      <c r="D327" s="127"/>
      <c r="E327" s="121">
        <f>+D324/11.96*1.05*2</f>
        <v>8.7792642140468224</v>
      </c>
    </row>
    <row r="328" spans="1:6" x14ac:dyDescent="0.15">
      <c r="A328" s="122"/>
      <c r="C328" s="92"/>
      <c r="D328"/>
      <c r="F328"/>
    </row>
    <row r="329" spans="1:6" ht="9" customHeight="1" x14ac:dyDescent="0.15">
      <c r="A329" s="122"/>
      <c r="B329" s="134"/>
      <c r="C329" s="122"/>
      <c r="D329" s="122"/>
      <c r="E329" s="163"/>
      <c r="F329" s="122"/>
    </row>
    <row r="330" spans="1:6" x14ac:dyDescent="0.15">
      <c r="C330" s="92"/>
      <c r="D330"/>
      <c r="F330"/>
    </row>
    <row r="331" spans="1:6" x14ac:dyDescent="0.15">
      <c r="C331" s="92"/>
      <c r="D331"/>
      <c r="F331"/>
    </row>
    <row r="332" spans="1:6" x14ac:dyDescent="0.15">
      <c r="C332" s="92"/>
      <c r="D332"/>
      <c r="F332"/>
    </row>
  </sheetData>
  <pageMargins left="0.7" right="0.7" top="0.75" bottom="0.75" header="0.3" footer="0.3"/>
  <pageSetup paperSize="9" scale="80" orientation="portrait" horizontalDpi="360" verticalDpi="360" r:id="rId1"/>
  <rowBreaks count="3" manualBreakCount="3">
    <brk id="56" max="16383" man="1"/>
    <brk id="125" max="6" man="1"/>
    <brk id="266" max="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2"/>
  <sheetViews>
    <sheetView view="pageBreakPreview" topLeftCell="A19" zoomScale="86" zoomScaleNormal="100" zoomScaleSheetLayoutView="86" workbookViewId="0">
      <selection activeCell="B27" sqref="B27"/>
    </sheetView>
  </sheetViews>
  <sheetFormatPr defaultRowHeight="12.75" x14ac:dyDescent="0.15"/>
  <cols>
    <col min="1" max="1" width="11.59375" style="4" customWidth="1"/>
    <col min="2" max="2" width="8.76171875" style="4" bestFit="1" customWidth="1"/>
    <col min="3" max="3" width="9.16796875" style="4" customWidth="1"/>
    <col min="4" max="4" width="14.29296875" style="4" customWidth="1"/>
    <col min="5" max="5" width="14.6953125" style="4" customWidth="1"/>
    <col min="6" max="6" width="14.42578125" style="4" customWidth="1"/>
    <col min="7" max="7" width="16.31640625" style="4" customWidth="1"/>
    <col min="8" max="8" width="11.0546875" style="7" customWidth="1"/>
    <col min="9" max="9" width="9.16796875" style="7" customWidth="1"/>
    <col min="10" max="10" width="9.16796875" style="4" customWidth="1"/>
  </cols>
  <sheetData>
    <row r="1" spans="1:10" x14ac:dyDescent="0.15">
      <c r="A1" s="3" t="s">
        <v>12</v>
      </c>
      <c r="D1" s="5" t="s">
        <v>13</v>
      </c>
      <c r="G1" s="6"/>
    </row>
    <row r="2" spans="1:10" x14ac:dyDescent="0.15">
      <c r="A2" s="3"/>
      <c r="D2" s="5" t="s">
        <v>14</v>
      </c>
      <c r="G2" s="6"/>
    </row>
    <row r="3" spans="1:10" x14ac:dyDescent="0.15">
      <c r="G3" s="6"/>
    </row>
    <row r="4" spans="1:10" x14ac:dyDescent="0.15">
      <c r="A4" s="8" t="s">
        <v>15</v>
      </c>
      <c r="D4" s="9" t="s">
        <v>1</v>
      </c>
      <c r="E4" s="10" t="s">
        <v>16</v>
      </c>
      <c r="F4" s="9" t="s">
        <v>0</v>
      </c>
      <c r="G4" s="11" t="s">
        <v>17</v>
      </c>
      <c r="H4" s="12"/>
      <c r="I4" s="13"/>
    </row>
    <row r="5" spans="1:10" x14ac:dyDescent="0.15">
      <c r="A5" s="8" t="s">
        <v>18</v>
      </c>
      <c r="B5" s="8" t="s">
        <v>19</v>
      </c>
      <c r="D5" s="14" t="s">
        <v>20</v>
      </c>
      <c r="E5" s="15" t="s">
        <v>21</v>
      </c>
      <c r="F5" s="14" t="s">
        <v>22</v>
      </c>
      <c r="G5" s="16" t="s">
        <v>23</v>
      </c>
      <c r="H5" s="12"/>
    </row>
    <row r="6" spans="1:10" x14ac:dyDescent="0.15">
      <c r="A6" s="17" t="s">
        <v>24</v>
      </c>
      <c r="B6" s="18"/>
      <c r="D6" s="19">
        <f>B6*0.045*22.4</f>
        <v>0</v>
      </c>
      <c r="E6" s="19">
        <f>B6*0.045*0.91</f>
        <v>0</v>
      </c>
      <c r="F6" s="20">
        <f>B6*120</f>
        <v>0</v>
      </c>
      <c r="G6" s="21">
        <f>B6*3.92/22*1.1</f>
        <v>0</v>
      </c>
      <c r="H6" s="22"/>
      <c r="I6" s="23"/>
    </row>
    <row r="7" spans="1:10" x14ac:dyDescent="0.15">
      <c r="A7" s="17"/>
      <c r="D7" s="24"/>
      <c r="E7" s="24"/>
      <c r="F7" s="25"/>
      <c r="G7" s="26"/>
      <c r="H7" s="27"/>
    </row>
    <row r="8" spans="1:10" x14ac:dyDescent="0.15">
      <c r="A8" s="17" t="s">
        <v>25</v>
      </c>
      <c r="B8" s="18"/>
      <c r="D8" s="24">
        <f>B8*0.045*14.4</f>
        <v>0</v>
      </c>
      <c r="E8" s="24">
        <f>B8*0.045*1.25</f>
        <v>0</v>
      </c>
      <c r="F8" s="28">
        <f>B8*120</f>
        <v>0</v>
      </c>
      <c r="G8" s="26">
        <f>B8*3.92/22*1.1</f>
        <v>0</v>
      </c>
      <c r="H8" s="29"/>
      <c r="I8" s="30"/>
    </row>
    <row r="9" spans="1:10" x14ac:dyDescent="0.15">
      <c r="A9" s="17"/>
      <c r="D9" s="24"/>
      <c r="E9" s="24"/>
      <c r="F9" s="25"/>
      <c r="G9" s="26"/>
      <c r="H9" s="29"/>
      <c r="I9" s="30"/>
    </row>
    <row r="10" spans="1:10" x14ac:dyDescent="0.15">
      <c r="A10" s="17" t="s">
        <v>26</v>
      </c>
      <c r="B10" s="18"/>
      <c r="D10" s="24">
        <f>B10*0.045*10.4</f>
        <v>0</v>
      </c>
      <c r="E10" s="24">
        <f>B10*0.045*1.38</f>
        <v>0</v>
      </c>
      <c r="F10" s="28">
        <f>B10*110</f>
        <v>0</v>
      </c>
      <c r="G10" s="26">
        <f>B10*3.92/22*1.1</f>
        <v>0</v>
      </c>
      <c r="H10" s="29"/>
      <c r="I10" s="30"/>
    </row>
    <row r="11" spans="1:10" x14ac:dyDescent="0.15">
      <c r="A11" s="17"/>
      <c r="D11" s="24"/>
      <c r="E11" s="24"/>
      <c r="F11" s="25"/>
      <c r="G11" s="26"/>
      <c r="H11" s="27"/>
    </row>
    <row r="12" spans="1:10" x14ac:dyDescent="0.15">
      <c r="A12" s="31" t="s">
        <v>27</v>
      </c>
      <c r="B12" s="18">
        <v>100</v>
      </c>
      <c r="C12" s="32"/>
      <c r="D12" s="33">
        <f>B12*0.045*8.6</f>
        <v>38.699999999999996</v>
      </c>
      <c r="E12" s="33">
        <f>B12*0.045*1.5</f>
        <v>6.75</v>
      </c>
      <c r="F12" s="34">
        <f>B12*110</f>
        <v>11000</v>
      </c>
      <c r="G12" s="35">
        <f>B12*3.92/20</f>
        <v>19.600000000000001</v>
      </c>
      <c r="H12" s="36"/>
      <c r="I12" s="37"/>
      <c r="J12" s="32"/>
    </row>
    <row r="13" spans="1:10" x14ac:dyDescent="0.15">
      <c r="A13" s="17"/>
      <c r="D13" s="38"/>
      <c r="E13" s="38"/>
      <c r="F13" s="25"/>
      <c r="G13" s="26"/>
      <c r="H13" s="27"/>
    </row>
    <row r="14" spans="1:10" x14ac:dyDescent="0.15">
      <c r="A14" s="39" t="s">
        <v>28</v>
      </c>
      <c r="B14" s="18"/>
      <c r="C14" s="40"/>
      <c r="D14" s="41">
        <f>B14*0.045*7.8</f>
        <v>0</v>
      </c>
      <c r="E14" s="41">
        <f>B14*0.045*1.63</f>
        <v>0</v>
      </c>
      <c r="F14" s="42">
        <f>B14*110</f>
        <v>0</v>
      </c>
      <c r="G14" s="43">
        <f>B14*3.92/22*1.1</f>
        <v>0</v>
      </c>
      <c r="H14" s="27"/>
      <c r="I14" s="13"/>
      <c r="J14" s="40"/>
    </row>
    <row r="15" spans="1:10" x14ac:dyDescent="0.15">
      <c r="G15" s="6"/>
      <c r="H15" s="13"/>
      <c r="I15" s="13"/>
    </row>
    <row r="16" spans="1:10" x14ac:dyDescent="0.15">
      <c r="G16" s="6"/>
      <c r="H16" s="13"/>
    </row>
    <row r="17" spans="1:10" x14ac:dyDescent="0.15">
      <c r="A17" s="3" t="s">
        <v>29</v>
      </c>
      <c r="G17" s="6"/>
      <c r="H17" s="44"/>
      <c r="I17" s="23"/>
    </row>
    <row r="18" spans="1:10" x14ac:dyDescent="0.15">
      <c r="G18" s="6"/>
      <c r="H18" s="13"/>
    </row>
    <row r="19" spans="1:10" x14ac:dyDescent="0.15">
      <c r="A19" s="8" t="s">
        <v>15</v>
      </c>
      <c r="D19" s="9" t="s">
        <v>1</v>
      </c>
      <c r="E19" s="10" t="s">
        <v>16</v>
      </c>
      <c r="F19" s="9" t="s">
        <v>0</v>
      </c>
      <c r="G19" s="11" t="s">
        <v>17</v>
      </c>
      <c r="H19" s="12"/>
      <c r="I19" s="30"/>
    </row>
    <row r="20" spans="1:10" x14ac:dyDescent="0.15">
      <c r="A20" s="8" t="s">
        <v>18</v>
      </c>
      <c r="B20" s="8" t="s">
        <v>19</v>
      </c>
      <c r="D20" s="14" t="s">
        <v>20</v>
      </c>
      <c r="E20" s="15" t="s">
        <v>21</v>
      </c>
      <c r="F20" s="14" t="s">
        <v>22</v>
      </c>
      <c r="G20" s="16" t="s">
        <v>23</v>
      </c>
      <c r="H20" s="12"/>
      <c r="I20" s="30"/>
    </row>
    <row r="21" spans="1:10" x14ac:dyDescent="0.15">
      <c r="A21" s="17" t="s">
        <v>24</v>
      </c>
      <c r="B21" s="18"/>
      <c r="D21" s="19">
        <f>B21*0.02*22.4</f>
        <v>0</v>
      </c>
      <c r="E21" s="19">
        <f>B21*0.02*0.91</f>
        <v>0</v>
      </c>
      <c r="F21" s="20">
        <f>B21*60</f>
        <v>0</v>
      </c>
      <c r="G21" s="21">
        <f>B21*3.92/22*1.1</f>
        <v>0</v>
      </c>
      <c r="H21" s="22"/>
      <c r="I21" s="30"/>
    </row>
    <row r="22" spans="1:10" x14ac:dyDescent="0.15">
      <c r="A22" s="17"/>
      <c r="D22" s="24"/>
      <c r="E22" s="24"/>
      <c r="F22" s="28"/>
      <c r="G22" s="26"/>
      <c r="H22" s="27"/>
    </row>
    <row r="23" spans="1:10" x14ac:dyDescent="0.15">
      <c r="A23" s="17" t="s">
        <v>25</v>
      </c>
      <c r="B23" s="18"/>
      <c r="D23" s="24">
        <f>B23*0.02*14.4</f>
        <v>0</v>
      </c>
      <c r="E23" s="24">
        <f>B23*0.02*1.25</f>
        <v>0</v>
      </c>
      <c r="F23" s="45">
        <f>B23*60</f>
        <v>0</v>
      </c>
      <c r="G23" s="26">
        <f>B23*3.92/22*1.1</f>
        <v>0</v>
      </c>
      <c r="H23" s="29"/>
    </row>
    <row r="24" spans="1:10" x14ac:dyDescent="0.15">
      <c r="A24" s="17"/>
      <c r="D24" s="24"/>
      <c r="E24" s="24"/>
      <c r="F24" s="28"/>
      <c r="G24" s="26"/>
      <c r="H24" s="29"/>
    </row>
    <row r="25" spans="1:10" x14ac:dyDescent="0.15">
      <c r="A25" s="17" t="s">
        <v>26</v>
      </c>
      <c r="B25" s="18"/>
      <c r="D25" s="24">
        <f>B25*0.02*10.4</f>
        <v>0</v>
      </c>
      <c r="E25" s="24">
        <f>B25*0.02*1.38</f>
        <v>0</v>
      </c>
      <c r="F25" s="28">
        <f>B25*60</f>
        <v>0</v>
      </c>
      <c r="G25" s="26">
        <f>B25*3.92/22*1.1</f>
        <v>0</v>
      </c>
      <c r="H25" s="29"/>
      <c r="I25" s="13"/>
    </row>
    <row r="26" spans="1:10" x14ac:dyDescent="0.15">
      <c r="A26" s="17"/>
      <c r="D26" s="24"/>
      <c r="E26" s="24"/>
      <c r="F26" s="28"/>
      <c r="G26" s="26"/>
      <c r="H26" s="27"/>
    </row>
    <row r="27" spans="1:10" x14ac:dyDescent="0.15">
      <c r="A27" s="31" t="s">
        <v>27</v>
      </c>
      <c r="B27" s="18">
        <v>14</v>
      </c>
      <c r="C27" s="32"/>
      <c r="D27" s="46">
        <f>B27*0.02*8.6</f>
        <v>2.4079999999999999</v>
      </c>
      <c r="E27" s="446">
        <f>B27*0.02*1.5</f>
        <v>0.42000000000000004</v>
      </c>
      <c r="F27" s="34">
        <f>B27*60</f>
        <v>840</v>
      </c>
      <c r="G27" s="35">
        <f>B27*3.92/20</f>
        <v>2.7439999999999998</v>
      </c>
      <c r="H27" s="36"/>
      <c r="I27" s="47"/>
      <c r="J27" s="32"/>
    </row>
    <row r="28" spans="1:10" x14ac:dyDescent="0.15">
      <c r="A28" s="17"/>
      <c r="D28" s="19"/>
      <c r="E28" s="19"/>
      <c r="F28" s="28"/>
      <c r="G28" s="26"/>
      <c r="H28" s="27"/>
    </row>
    <row r="29" spans="1:10" x14ac:dyDescent="0.15">
      <c r="A29" s="17" t="s">
        <v>28</v>
      </c>
      <c r="B29" s="18"/>
      <c r="D29" s="48">
        <f>B29*0.02*7.8</f>
        <v>0</v>
      </c>
      <c r="E29" s="48">
        <f>B29*0.02*1.63</f>
        <v>0</v>
      </c>
      <c r="F29" s="49">
        <f>B29*60</f>
        <v>0</v>
      </c>
      <c r="G29" s="50">
        <f>B29*3.92/22*1.1</f>
        <v>0</v>
      </c>
      <c r="H29" s="27"/>
      <c r="I29" s="30"/>
    </row>
    <row r="30" spans="1:10" x14ac:dyDescent="0.15">
      <c r="G30" s="6"/>
      <c r="H30" s="30"/>
      <c r="I30" s="30"/>
    </row>
    <row r="31" spans="1:10" x14ac:dyDescent="0.15">
      <c r="G31" s="6"/>
      <c r="H31" s="30"/>
      <c r="I31" s="30"/>
    </row>
    <row r="32" spans="1:10" x14ac:dyDescent="0.15">
      <c r="A32" s="51"/>
      <c r="B32" s="51"/>
      <c r="C32" s="52"/>
      <c r="D32" s="53" t="s">
        <v>1</v>
      </c>
      <c r="E32" s="53" t="s">
        <v>16</v>
      </c>
      <c r="F32" s="54" t="s">
        <v>0</v>
      </c>
      <c r="G32" s="55"/>
    </row>
    <row r="33" spans="1:10" x14ac:dyDescent="0.15">
      <c r="A33" s="56" t="s">
        <v>30</v>
      </c>
      <c r="B33" s="57"/>
      <c r="C33" s="57"/>
      <c r="D33" s="58">
        <f>SUM(D6:D29)</f>
        <v>41.107999999999997</v>
      </c>
      <c r="E33" s="58">
        <f>SUM(E6:E29)</f>
        <v>7.17</v>
      </c>
      <c r="F33" s="59">
        <f>SUM(F6:F29)</f>
        <v>11840</v>
      </c>
      <c r="G33" s="60"/>
    </row>
    <row r="34" spans="1:10" x14ac:dyDescent="0.15">
      <c r="A34" s="61"/>
      <c r="B34" s="61"/>
      <c r="C34" s="62"/>
      <c r="D34" s="63" t="s">
        <v>20</v>
      </c>
      <c r="E34" s="63" t="s">
        <v>21</v>
      </c>
      <c r="F34" s="64" t="s">
        <v>22</v>
      </c>
      <c r="G34" s="55"/>
    </row>
    <row r="35" spans="1:10" x14ac:dyDescent="0.15">
      <c r="A35" s="65"/>
      <c r="B35" s="40"/>
      <c r="C35" s="40"/>
      <c r="D35" s="40"/>
      <c r="E35" s="40"/>
      <c r="F35" s="40"/>
      <c r="G35" s="40"/>
      <c r="H35" s="13"/>
      <c r="I35" s="13"/>
    </row>
    <row r="36" spans="1:10" x14ac:dyDescent="0.15">
      <c r="A36" s="40"/>
      <c r="B36" s="40"/>
      <c r="C36" s="40"/>
      <c r="D36" s="40"/>
      <c r="E36" s="40"/>
      <c r="F36" s="40"/>
      <c r="G36" s="40"/>
      <c r="H36" s="13"/>
      <c r="I36" s="13"/>
      <c r="J36" s="40"/>
    </row>
    <row r="37" spans="1:10" x14ac:dyDescent="0.15">
      <c r="A37" s="3" t="s">
        <v>31</v>
      </c>
      <c r="G37" s="6"/>
      <c r="H37" s="23"/>
      <c r="I37" s="23"/>
    </row>
    <row r="38" spans="1:10" x14ac:dyDescent="0.15">
      <c r="G38" s="6"/>
    </row>
    <row r="39" spans="1:10" x14ac:dyDescent="0.15">
      <c r="D39" s="9" t="s">
        <v>1</v>
      </c>
      <c r="E39" s="10" t="s">
        <v>2</v>
      </c>
      <c r="F39" s="9" t="s">
        <v>32</v>
      </c>
      <c r="G39" s="66"/>
      <c r="H39" s="30"/>
      <c r="I39" s="30"/>
    </row>
    <row r="40" spans="1:10" x14ac:dyDescent="0.15">
      <c r="A40" s="67" t="s">
        <v>33</v>
      </c>
      <c r="B40" s="8" t="s">
        <v>34</v>
      </c>
      <c r="D40" s="14" t="s">
        <v>20</v>
      </c>
      <c r="E40" s="15" t="s">
        <v>21</v>
      </c>
      <c r="F40" s="14" t="s">
        <v>22</v>
      </c>
      <c r="G40" s="66"/>
      <c r="H40" s="30"/>
      <c r="I40" s="30"/>
    </row>
    <row r="41" spans="1:10" x14ac:dyDescent="0.15">
      <c r="A41" s="17" t="s">
        <v>35</v>
      </c>
      <c r="B41" s="18">
        <v>0.72</v>
      </c>
      <c r="D41" s="19">
        <f>B41*5</f>
        <v>3.5999999999999996</v>
      </c>
      <c r="E41" s="19">
        <f>B41*0.8</f>
        <v>0.57599999999999996</v>
      </c>
      <c r="F41" s="19">
        <f>B41*0.8</f>
        <v>0.57599999999999996</v>
      </c>
      <c r="G41" s="29"/>
      <c r="H41" s="30"/>
      <c r="I41" s="30"/>
    </row>
    <row r="42" spans="1:10" x14ac:dyDescent="0.15">
      <c r="A42" s="17"/>
      <c r="D42" s="24"/>
      <c r="E42" s="24"/>
      <c r="F42" s="28"/>
      <c r="G42" s="29"/>
    </row>
    <row r="43" spans="1:10" x14ac:dyDescent="0.15">
      <c r="A43" s="31" t="s">
        <v>36</v>
      </c>
      <c r="B43" s="18">
        <v>1</v>
      </c>
      <c r="C43" s="32"/>
      <c r="D43" s="33">
        <f>B43*6</f>
        <v>6</v>
      </c>
      <c r="E43" s="33">
        <f>B43*0.8</f>
        <v>0.8</v>
      </c>
      <c r="F43" s="33">
        <f>B43*0.8</f>
        <v>0.8</v>
      </c>
      <c r="G43" s="68"/>
      <c r="H43" s="37"/>
      <c r="I43" s="37"/>
      <c r="J43" s="32"/>
    </row>
    <row r="44" spans="1:10" x14ac:dyDescent="0.15">
      <c r="A44" s="17"/>
      <c r="B44" s="4">
        <v>1</v>
      </c>
      <c r="D44" s="24"/>
      <c r="E44" s="24"/>
      <c r="F44" s="28"/>
      <c r="G44" s="29"/>
    </row>
    <row r="45" spans="1:10" x14ac:dyDescent="0.15">
      <c r="A45" s="17" t="s">
        <v>37</v>
      </c>
      <c r="B45" s="18">
        <v>1</v>
      </c>
      <c r="D45" s="24">
        <f>B45*7</f>
        <v>7</v>
      </c>
      <c r="E45" s="24">
        <f>B45*0.74</f>
        <v>0.74</v>
      </c>
      <c r="F45" s="28">
        <f>B45*0.77</f>
        <v>0.77</v>
      </c>
      <c r="G45" s="29"/>
    </row>
    <row r="46" spans="1:10" x14ac:dyDescent="0.15">
      <c r="A46" s="17"/>
      <c r="D46" s="24"/>
      <c r="E46" s="24"/>
      <c r="F46" s="28"/>
      <c r="G46" s="29"/>
    </row>
    <row r="47" spans="1:10" x14ac:dyDescent="0.15">
      <c r="A47" s="17" t="s">
        <v>38</v>
      </c>
      <c r="B47" s="18">
        <v>1</v>
      </c>
      <c r="D47" s="69">
        <f>B47*9.26</f>
        <v>9.26</v>
      </c>
      <c r="E47" s="69">
        <f>B47*0.7</f>
        <v>0.7</v>
      </c>
      <c r="F47" s="28">
        <f>B47*0.78</f>
        <v>0.78</v>
      </c>
      <c r="G47" s="29"/>
    </row>
    <row r="48" spans="1:10" x14ac:dyDescent="0.15">
      <c r="A48" s="17"/>
      <c r="D48" s="38"/>
      <c r="E48" s="38"/>
      <c r="F48" s="28"/>
      <c r="G48" s="29"/>
    </row>
    <row r="49" spans="1:10" x14ac:dyDescent="0.15">
      <c r="A49" s="39" t="s">
        <v>39</v>
      </c>
      <c r="B49" s="18">
        <v>1</v>
      </c>
      <c r="C49" s="40"/>
      <c r="D49" s="70">
        <f>B49*10.29</f>
        <v>10.29</v>
      </c>
      <c r="E49" s="70">
        <f>B49*0.65</f>
        <v>0.65</v>
      </c>
      <c r="F49" s="71">
        <f>B49*0.78</f>
        <v>0.78</v>
      </c>
      <c r="G49" s="29"/>
    </row>
    <row r="50" spans="1:10" x14ac:dyDescent="0.15">
      <c r="D50" s="72"/>
      <c r="E50" s="73"/>
      <c r="F50" s="73"/>
      <c r="G50" s="74"/>
    </row>
    <row r="51" spans="1:10" x14ac:dyDescent="0.15">
      <c r="A51" s="75" t="s">
        <v>40</v>
      </c>
      <c r="D51" s="72"/>
      <c r="E51" s="73"/>
      <c r="F51" s="73"/>
      <c r="G51" s="74"/>
    </row>
    <row r="52" spans="1:10" x14ac:dyDescent="0.15">
      <c r="A52" s="17" t="s">
        <v>41</v>
      </c>
      <c r="B52" s="18">
        <v>1</v>
      </c>
      <c r="D52" s="28">
        <f>B52*215/50</f>
        <v>4.3</v>
      </c>
      <c r="E52" s="25">
        <f>B52*0.55</f>
        <v>0.55000000000000004</v>
      </c>
      <c r="F52" s="25">
        <f>B52*0.88</f>
        <v>0.88</v>
      </c>
      <c r="G52" s="74"/>
    </row>
    <row r="53" spans="1:10" x14ac:dyDescent="0.15">
      <c r="A53" s="17"/>
      <c r="D53" s="28"/>
      <c r="E53" s="25"/>
      <c r="F53" s="25"/>
      <c r="G53" s="74"/>
    </row>
    <row r="54" spans="1:10" x14ac:dyDescent="0.15">
      <c r="A54" s="39" t="s">
        <v>42</v>
      </c>
      <c r="B54" s="18">
        <v>1</v>
      </c>
      <c r="C54" s="40"/>
      <c r="D54" s="42">
        <f>B54*304/50</f>
        <v>6.08</v>
      </c>
      <c r="E54" s="76">
        <f>B54*0.53</f>
        <v>0.53</v>
      </c>
      <c r="F54" s="76">
        <f>B54*0.84</f>
        <v>0.84</v>
      </c>
      <c r="G54" s="74"/>
      <c r="H54" s="13"/>
      <c r="I54" s="13"/>
      <c r="J54" s="40"/>
    </row>
    <row r="55" spans="1:10" x14ac:dyDescent="0.15">
      <c r="A55" s="17"/>
      <c r="G55" s="74"/>
    </row>
    <row r="56" spans="1:10" x14ac:dyDescent="0.15">
      <c r="G56" s="74"/>
    </row>
    <row r="57" spans="1:10" x14ac:dyDescent="0.15">
      <c r="G57" s="6"/>
    </row>
    <row r="58" spans="1:10" x14ac:dyDescent="0.15">
      <c r="A58" s="51"/>
      <c r="B58" s="51"/>
      <c r="C58" s="52"/>
      <c r="D58" s="53" t="s">
        <v>1</v>
      </c>
      <c r="E58" s="53" t="s">
        <v>43</v>
      </c>
      <c r="F58" s="54" t="s">
        <v>32</v>
      </c>
      <c r="G58" s="55"/>
    </row>
    <row r="59" spans="1:10" x14ac:dyDescent="0.15">
      <c r="A59" s="56" t="s">
        <v>30</v>
      </c>
      <c r="B59" s="57"/>
      <c r="C59" s="57"/>
      <c r="D59" s="58">
        <f>SUM(D41:D56)</f>
        <v>46.529999999999994</v>
      </c>
      <c r="E59" s="58">
        <f>SUM(E41:E56)</f>
        <v>4.5460000000000003</v>
      </c>
      <c r="F59" s="59">
        <f>SUM(F41:F56)</f>
        <v>5.4260000000000002</v>
      </c>
      <c r="G59" s="60"/>
    </row>
    <row r="60" spans="1:10" x14ac:dyDescent="0.15">
      <c r="A60" s="61"/>
      <c r="B60" s="61"/>
      <c r="C60" s="62"/>
      <c r="D60" s="63" t="s">
        <v>20</v>
      </c>
      <c r="E60" s="63" t="s">
        <v>21</v>
      </c>
      <c r="F60" s="64" t="s">
        <v>21</v>
      </c>
      <c r="G60" s="55"/>
    </row>
    <row r="62" spans="1:10" x14ac:dyDescent="0.15">
      <c r="A62" s="77"/>
      <c r="B62" s="77"/>
      <c r="C62" s="77"/>
      <c r="D62" s="77"/>
      <c r="E62" s="77"/>
      <c r="F62" s="77"/>
      <c r="G62" s="77"/>
      <c r="H62" s="78"/>
      <c r="I62" s="78"/>
      <c r="J62" s="77"/>
    </row>
  </sheetData>
  <phoneticPr fontId="2" type="noConversion"/>
  <pageMargins left="0.75" right="0.75" top="1" bottom="1" header="0.5" footer="0.5"/>
  <pageSetup paperSize="9" scale="73" orientation="portrait" horizontalDpi="360" verticalDpi="36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tabSelected="1" workbookViewId="0">
      <selection activeCell="B12" sqref="B12"/>
    </sheetView>
  </sheetViews>
  <sheetFormatPr defaultRowHeight="12.75" x14ac:dyDescent="0.15"/>
  <cols>
    <col min="1" max="1" width="9.16796875" style="4" customWidth="1"/>
    <col min="2" max="2" width="9.70703125" style="4" customWidth="1"/>
    <col min="3" max="3" width="5.66015625" style="4" customWidth="1"/>
    <col min="4" max="5" width="14.5625" style="4" customWidth="1"/>
    <col min="6" max="6" width="13.078125" style="4" customWidth="1"/>
    <col min="7" max="7" width="12.26953125" style="6" customWidth="1"/>
    <col min="8" max="8" width="12" style="4" customWidth="1"/>
    <col min="9" max="10" width="12" customWidth="1"/>
  </cols>
  <sheetData>
    <row r="1" spans="1:7" x14ac:dyDescent="0.15">
      <c r="A1" s="3" t="s">
        <v>12</v>
      </c>
      <c r="D1" s="5" t="s">
        <v>44</v>
      </c>
    </row>
    <row r="2" spans="1:7" x14ac:dyDescent="0.15">
      <c r="D2" s="5" t="s">
        <v>45</v>
      </c>
      <c r="E2" s="5"/>
    </row>
    <row r="3" spans="1:7" x14ac:dyDescent="0.15">
      <c r="D3" s="5"/>
      <c r="E3" s="5"/>
    </row>
    <row r="4" spans="1:7" x14ac:dyDescent="0.15">
      <c r="A4" s="8" t="s">
        <v>15</v>
      </c>
      <c r="D4" s="9" t="s">
        <v>1</v>
      </c>
      <c r="E4" s="10" t="s">
        <v>16</v>
      </c>
      <c r="F4" s="9" t="s">
        <v>0</v>
      </c>
      <c r="G4" s="79" t="s">
        <v>17</v>
      </c>
    </row>
    <row r="5" spans="1:7" x14ac:dyDescent="0.15">
      <c r="A5" s="8" t="s">
        <v>18</v>
      </c>
      <c r="B5" s="8" t="s">
        <v>19</v>
      </c>
      <c r="D5" s="14" t="s">
        <v>20</v>
      </c>
      <c r="E5" s="15" t="s">
        <v>21</v>
      </c>
      <c r="F5" s="14" t="s">
        <v>22</v>
      </c>
      <c r="G5" s="80" t="s">
        <v>23</v>
      </c>
    </row>
    <row r="6" spans="1:7" x14ac:dyDescent="0.15">
      <c r="A6" s="17" t="s">
        <v>24</v>
      </c>
      <c r="B6" s="81">
        <v>0</v>
      </c>
      <c r="D6" s="19">
        <f>B6*0.045*22.4</f>
        <v>0</v>
      </c>
      <c r="E6" s="19">
        <f>B6*0.045*0.91</f>
        <v>0</v>
      </c>
      <c r="F6" s="20">
        <f>B6*120</f>
        <v>0</v>
      </c>
      <c r="G6" s="19">
        <f>B6*2.94/22*1.1</f>
        <v>0</v>
      </c>
    </row>
    <row r="7" spans="1:7" x14ac:dyDescent="0.15">
      <c r="A7" s="17"/>
      <c r="D7" s="24"/>
      <c r="E7" s="24"/>
      <c r="F7" s="25"/>
      <c r="G7" s="24"/>
    </row>
    <row r="8" spans="1:7" x14ac:dyDescent="0.15">
      <c r="A8" s="17" t="s">
        <v>25</v>
      </c>
      <c r="B8" s="81">
        <v>0</v>
      </c>
      <c r="D8" s="24">
        <f>B8*0.045*14.4</f>
        <v>0</v>
      </c>
      <c r="E8" s="24">
        <f>B8*0.045*1.25</f>
        <v>0</v>
      </c>
      <c r="F8" s="28">
        <f>B8*120</f>
        <v>0</v>
      </c>
      <c r="G8" s="24">
        <f>B8*2.94/22*1.1</f>
        <v>0</v>
      </c>
    </row>
    <row r="9" spans="1:7" x14ac:dyDescent="0.15">
      <c r="A9" s="17"/>
      <c r="D9" s="24"/>
      <c r="E9" s="24"/>
      <c r="F9" s="25"/>
      <c r="G9" s="24"/>
    </row>
    <row r="10" spans="1:7" x14ac:dyDescent="0.15">
      <c r="A10" s="17" t="s">
        <v>26</v>
      </c>
      <c r="B10" s="81"/>
      <c r="D10" s="24">
        <f>B10*0.045*10.4</f>
        <v>0</v>
      </c>
      <c r="E10" s="24">
        <f>B10*0.045*1.38</f>
        <v>0</v>
      </c>
      <c r="F10" s="28">
        <f>B10*120</f>
        <v>0</v>
      </c>
      <c r="G10" s="24">
        <f>B10*2.94/22*1.1</f>
        <v>0</v>
      </c>
    </row>
    <row r="11" spans="1:7" x14ac:dyDescent="0.15">
      <c r="A11" s="17"/>
      <c r="D11" s="24"/>
      <c r="E11" s="24"/>
      <c r="F11" s="25"/>
      <c r="G11" s="24"/>
    </row>
    <row r="12" spans="1:7" x14ac:dyDescent="0.15">
      <c r="A12" s="75" t="s">
        <v>27</v>
      </c>
      <c r="B12" s="18">
        <v>480</v>
      </c>
      <c r="C12" s="82"/>
      <c r="D12" s="83">
        <f>B12*0.045*8.6</f>
        <v>185.75999999999996</v>
      </c>
      <c r="E12" s="83">
        <f>B12*0.045*1.5</f>
        <v>32.4</v>
      </c>
      <c r="F12" s="84">
        <f>B12*110</f>
        <v>52800</v>
      </c>
      <c r="G12" s="83">
        <f>B12*2.94/20*1.1</f>
        <v>77.616000000000014</v>
      </c>
    </row>
    <row r="13" spans="1:7" x14ac:dyDescent="0.15">
      <c r="A13" s="17"/>
      <c r="D13" s="38"/>
      <c r="E13" s="38"/>
      <c r="F13" s="25"/>
      <c r="G13" s="24"/>
    </row>
    <row r="14" spans="1:7" x14ac:dyDescent="0.15">
      <c r="A14" s="17" t="s">
        <v>28</v>
      </c>
      <c r="B14" s="81">
        <v>10</v>
      </c>
      <c r="D14" s="48">
        <f>B14*0.045*7.8</f>
        <v>3.51</v>
      </c>
      <c r="E14" s="48">
        <f>B14*0.045*1.63</f>
        <v>0.73349999999999993</v>
      </c>
      <c r="F14" s="49">
        <f>B14*120</f>
        <v>1200</v>
      </c>
      <c r="G14" s="48">
        <f>B14*2.94/22*1.1</f>
        <v>1.47</v>
      </c>
    </row>
    <row r="17" spans="1:10" x14ac:dyDescent="0.15">
      <c r="A17" s="3" t="s">
        <v>29</v>
      </c>
    </row>
    <row r="19" spans="1:10" x14ac:dyDescent="0.15">
      <c r="A19" s="8" t="s">
        <v>15</v>
      </c>
      <c r="D19" s="9" t="s">
        <v>1</v>
      </c>
      <c r="E19" s="10" t="s">
        <v>16</v>
      </c>
      <c r="F19" s="9" t="s">
        <v>0</v>
      </c>
      <c r="G19" s="79" t="s">
        <v>17</v>
      </c>
    </row>
    <row r="20" spans="1:10" x14ac:dyDescent="0.15">
      <c r="A20" s="8" t="s">
        <v>18</v>
      </c>
      <c r="B20" s="8" t="s">
        <v>19</v>
      </c>
      <c r="D20" s="14" t="s">
        <v>20</v>
      </c>
      <c r="E20" s="15" t="s">
        <v>21</v>
      </c>
      <c r="F20" s="14" t="s">
        <v>22</v>
      </c>
      <c r="G20" s="80" t="s">
        <v>23</v>
      </c>
    </row>
    <row r="21" spans="1:10" x14ac:dyDescent="0.15">
      <c r="A21" s="17" t="s">
        <v>24</v>
      </c>
      <c r="B21" s="81">
        <v>0</v>
      </c>
      <c r="D21" s="19">
        <f>B21*0.02*22.4</f>
        <v>0</v>
      </c>
      <c r="E21" s="19">
        <f>B21*0.02*0.91</f>
        <v>0</v>
      </c>
      <c r="F21" s="20">
        <f>B21*60</f>
        <v>0</v>
      </c>
      <c r="G21" s="19">
        <f>B21*2.94/22*1.1</f>
        <v>0</v>
      </c>
    </row>
    <row r="22" spans="1:10" x14ac:dyDescent="0.15">
      <c r="A22" s="17"/>
      <c r="D22" s="24"/>
      <c r="E22" s="24"/>
      <c r="F22" s="28"/>
      <c r="G22" s="24"/>
    </row>
    <row r="23" spans="1:10" x14ac:dyDescent="0.15">
      <c r="A23" s="17" t="s">
        <v>25</v>
      </c>
      <c r="B23" s="81">
        <v>0</v>
      </c>
      <c r="D23" s="24">
        <f>B23*0.02*14.4</f>
        <v>0</v>
      </c>
      <c r="E23" s="24">
        <f>B23*0.02*1.25</f>
        <v>0</v>
      </c>
      <c r="F23" s="45">
        <f>B23*60</f>
        <v>0</v>
      </c>
      <c r="G23" s="24">
        <f>B23*2.94/20*1.1</f>
        <v>0</v>
      </c>
    </row>
    <row r="24" spans="1:10" x14ac:dyDescent="0.15">
      <c r="A24" s="17"/>
      <c r="D24" s="24"/>
      <c r="E24" s="24"/>
      <c r="F24" s="28"/>
      <c r="G24" s="24"/>
    </row>
    <row r="25" spans="1:10" x14ac:dyDescent="0.15">
      <c r="A25" s="17" t="s">
        <v>26</v>
      </c>
      <c r="B25" s="81"/>
      <c r="D25" s="24">
        <f>B25*0.02*10.4</f>
        <v>0</v>
      </c>
      <c r="E25" s="24">
        <f>B25*0.02*1.38</f>
        <v>0</v>
      </c>
      <c r="F25" s="28">
        <f>B25*60</f>
        <v>0</v>
      </c>
      <c r="G25" s="24">
        <f>B25*2.94/20*1.1</f>
        <v>0</v>
      </c>
    </row>
    <row r="26" spans="1:10" x14ac:dyDescent="0.15">
      <c r="A26" s="17"/>
      <c r="D26" s="24"/>
      <c r="E26" s="24"/>
      <c r="F26" s="28"/>
      <c r="G26" s="24"/>
    </row>
    <row r="27" spans="1:10" x14ac:dyDescent="0.15">
      <c r="A27" s="75" t="s">
        <v>27</v>
      </c>
      <c r="B27" s="18">
        <v>100</v>
      </c>
      <c r="C27" s="82"/>
      <c r="D27" s="448">
        <f>B27*0.02*8.6</f>
        <v>17.2</v>
      </c>
      <c r="E27" s="448">
        <f>B27*0.02*1.5</f>
        <v>3</v>
      </c>
      <c r="F27" s="449">
        <f>B27*60</f>
        <v>6000</v>
      </c>
      <c r="G27" s="450">
        <f>B27*2.94/20*1.1</f>
        <v>16.170000000000002</v>
      </c>
    </row>
    <row r="28" spans="1:10" x14ac:dyDescent="0.15">
      <c r="A28" s="17"/>
      <c r="D28" s="19"/>
      <c r="E28" s="19"/>
      <c r="F28" s="28"/>
      <c r="G28" s="24"/>
    </row>
    <row r="29" spans="1:10" x14ac:dyDescent="0.15">
      <c r="A29" s="17" t="s">
        <v>28</v>
      </c>
      <c r="B29" s="81"/>
      <c r="D29" s="48">
        <f>B29*0.02*7.8</f>
        <v>0</v>
      </c>
      <c r="E29" s="48">
        <f>B29*0.02*1.63</f>
        <v>0</v>
      </c>
      <c r="F29" s="49">
        <f>B29*60</f>
        <v>0</v>
      </c>
      <c r="G29" s="48">
        <f>B29*2.94/22*1.1</f>
        <v>0</v>
      </c>
    </row>
    <row r="32" spans="1:10" x14ac:dyDescent="0.15">
      <c r="A32" s="51"/>
      <c r="B32" s="51"/>
      <c r="C32" s="52"/>
      <c r="D32" s="53" t="s">
        <v>1</v>
      </c>
      <c r="E32" s="53" t="s">
        <v>16</v>
      </c>
      <c r="F32" s="453" t="s">
        <v>0</v>
      </c>
      <c r="G32" s="550" t="s">
        <v>880</v>
      </c>
      <c r="H32" s="550"/>
      <c r="I32" s="550" t="s">
        <v>879</v>
      </c>
      <c r="J32" s="550"/>
    </row>
    <row r="33" spans="1:10" x14ac:dyDescent="0.15">
      <c r="A33" s="56" t="s">
        <v>30</v>
      </c>
      <c r="B33" s="57"/>
      <c r="C33" s="57"/>
      <c r="D33" s="58">
        <f>SUM(D6:D29)</f>
        <v>206.46999999999994</v>
      </c>
      <c r="E33" s="58">
        <f>SUM(E6:E29)</f>
        <v>36.133499999999998</v>
      </c>
      <c r="F33" s="454">
        <f>SUM(F6:F29)</f>
        <v>60000</v>
      </c>
      <c r="G33" s="458">
        <f>SUM(G6:G14)*20</f>
        <v>1581.7200000000003</v>
      </c>
      <c r="H33" s="459">
        <f>G33/20</f>
        <v>79.086000000000013</v>
      </c>
      <c r="I33" s="461">
        <f>SUM(G21:G29)*20</f>
        <v>323.40000000000003</v>
      </c>
      <c r="J33" s="462">
        <f>SUM(G21:G29)</f>
        <v>16.170000000000002</v>
      </c>
    </row>
    <row r="34" spans="1:10" x14ac:dyDescent="0.15">
      <c r="A34" s="61"/>
      <c r="B34" s="61"/>
      <c r="C34" s="62"/>
      <c r="D34" s="63" t="s">
        <v>20</v>
      </c>
      <c r="E34" s="63" t="s">
        <v>21</v>
      </c>
      <c r="F34" s="455" t="s">
        <v>22</v>
      </c>
      <c r="G34" s="456" t="s">
        <v>78</v>
      </c>
      <c r="H34" s="457" t="s">
        <v>23</v>
      </c>
      <c r="I34" s="460" t="s">
        <v>78</v>
      </c>
      <c r="J34" s="460" t="s">
        <v>23</v>
      </c>
    </row>
  </sheetData>
  <mergeCells count="2">
    <mergeCell ref="G32:H32"/>
    <mergeCell ref="I32:J32"/>
  </mergeCells>
  <phoneticPr fontId="2" type="noConversion"/>
  <pageMargins left="0.75" right="0.75" top="1" bottom="1" header="0.5" footer="0.5"/>
  <pageSetup paperSize="9" orientation="portrait" horizontalDpi="4294967293"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
  <sheetViews>
    <sheetView view="pageBreakPreview" zoomScale="78" zoomScaleNormal="100" zoomScaleSheetLayoutView="78" workbookViewId="0">
      <selection activeCell="B13" sqref="B13"/>
    </sheetView>
  </sheetViews>
  <sheetFormatPr defaultRowHeight="12.75" x14ac:dyDescent="0.15"/>
  <sheetData>
    <row r="1" spans="1:9" x14ac:dyDescent="0.15">
      <c r="A1" s="3" t="s">
        <v>3</v>
      </c>
      <c r="B1" s="4"/>
      <c r="C1" s="5" t="s">
        <v>46</v>
      </c>
      <c r="E1" s="4"/>
    </row>
    <row r="2" spans="1:9" x14ac:dyDescent="0.15">
      <c r="A2" s="4"/>
      <c r="B2" s="4"/>
      <c r="C2" s="4"/>
      <c r="D2" s="4"/>
      <c r="E2" s="4"/>
    </row>
    <row r="3" spans="1:9" x14ac:dyDescent="0.15">
      <c r="A3" s="8" t="s">
        <v>15</v>
      </c>
      <c r="B3" s="4"/>
      <c r="C3" s="4"/>
      <c r="D3" s="9" t="s">
        <v>1</v>
      </c>
      <c r="E3" s="10" t="s">
        <v>16</v>
      </c>
      <c r="F3" s="85"/>
    </row>
    <row r="4" spans="1:9" x14ac:dyDescent="0.15">
      <c r="A4" s="8" t="s">
        <v>18</v>
      </c>
      <c r="B4" s="8" t="s">
        <v>19</v>
      </c>
      <c r="C4" s="4"/>
      <c r="D4" s="14" t="s">
        <v>20</v>
      </c>
      <c r="E4" s="15" t="s">
        <v>21</v>
      </c>
      <c r="F4" s="85"/>
    </row>
    <row r="5" spans="1:9" x14ac:dyDescent="0.15">
      <c r="A5" s="17" t="s">
        <v>24</v>
      </c>
      <c r="B5" s="81">
        <v>0</v>
      </c>
      <c r="C5" s="4"/>
      <c r="D5" s="19">
        <f>B5*0.02*22.4</f>
        <v>0</v>
      </c>
      <c r="E5" s="86">
        <f>B5*0.02*0.91</f>
        <v>0</v>
      </c>
      <c r="F5" s="85"/>
    </row>
    <row r="6" spans="1:9" x14ac:dyDescent="0.15">
      <c r="A6" s="17"/>
      <c r="B6" s="4"/>
      <c r="C6" s="4"/>
      <c r="D6" s="24"/>
      <c r="E6" s="87"/>
      <c r="F6" s="85"/>
    </row>
    <row r="7" spans="1:9" x14ac:dyDescent="0.15">
      <c r="A7" s="17" t="s">
        <v>25</v>
      </c>
      <c r="B7" s="81">
        <v>0</v>
      </c>
      <c r="C7" s="4"/>
      <c r="D7" s="24">
        <f>B7*0.02*14.4</f>
        <v>0</v>
      </c>
      <c r="E7" s="87">
        <f>B7*0.02*1.25</f>
        <v>0</v>
      </c>
      <c r="F7" s="85"/>
    </row>
    <row r="8" spans="1:9" x14ac:dyDescent="0.15">
      <c r="A8" s="17"/>
      <c r="B8" s="4"/>
      <c r="C8" s="4"/>
      <c r="D8" s="24"/>
      <c r="E8" s="87"/>
      <c r="F8" s="85"/>
    </row>
    <row r="9" spans="1:9" x14ac:dyDescent="0.15">
      <c r="A9" s="17" t="s">
        <v>26</v>
      </c>
      <c r="B9" s="81"/>
      <c r="C9" s="4"/>
      <c r="D9" s="24">
        <f>B9*0.02*10.4</f>
        <v>0</v>
      </c>
      <c r="E9" s="87">
        <f>B9*0.02*1.38</f>
        <v>0</v>
      </c>
      <c r="F9" s="85"/>
    </row>
    <row r="10" spans="1:9" x14ac:dyDescent="0.15">
      <c r="A10" s="17"/>
      <c r="B10" s="4"/>
      <c r="C10" s="4"/>
      <c r="D10" s="24"/>
      <c r="E10" s="87"/>
      <c r="F10" s="85"/>
    </row>
    <row r="11" spans="1:9" x14ac:dyDescent="0.15">
      <c r="A11" s="39" t="s">
        <v>27</v>
      </c>
      <c r="B11" s="88"/>
      <c r="C11" s="40"/>
      <c r="D11" s="89">
        <f>B11*0.02*8.6</f>
        <v>0</v>
      </c>
      <c r="E11" s="90">
        <f>B11*0.02*1.5</f>
        <v>0</v>
      </c>
      <c r="F11" s="91"/>
      <c r="G11" s="92"/>
      <c r="H11" s="92"/>
      <c r="I11" s="92"/>
    </row>
    <row r="12" spans="1:9" x14ac:dyDescent="0.15">
      <c r="A12" s="17"/>
      <c r="B12" s="4"/>
      <c r="C12" s="4"/>
      <c r="D12" s="38"/>
      <c r="E12" s="93"/>
      <c r="F12" s="85"/>
    </row>
    <row r="13" spans="1:9" x14ac:dyDescent="0.15">
      <c r="A13" s="94" t="s">
        <v>28</v>
      </c>
      <c r="B13" s="95">
        <v>102</v>
      </c>
      <c r="C13" s="96"/>
      <c r="D13" s="97">
        <f>B13*0.02*7.8</f>
        <v>15.911999999999999</v>
      </c>
      <c r="E13" s="98">
        <f>B13*0.02*1.63</f>
        <v>3.3251999999999997</v>
      </c>
      <c r="F13" s="99"/>
      <c r="G13" s="100"/>
      <c r="H13" s="100"/>
      <c r="I13" s="100"/>
    </row>
    <row r="14" spans="1:9" x14ac:dyDescent="0.15">
      <c r="A14" s="4"/>
      <c r="B14" s="4"/>
      <c r="C14" s="4"/>
      <c r="D14" s="25"/>
      <c r="E14" s="87"/>
    </row>
    <row r="15" spans="1:9" x14ac:dyDescent="0.15">
      <c r="A15" s="94" t="s">
        <v>47</v>
      </c>
      <c r="B15" s="95">
        <v>1</v>
      </c>
      <c r="C15" s="96"/>
      <c r="D15" s="101">
        <f>B15*0.02*6.4</f>
        <v>0.128</v>
      </c>
      <c r="E15" s="102">
        <f>B15*0.02*1.69</f>
        <v>3.3799999999999997E-2</v>
      </c>
      <c r="F15" s="100"/>
      <c r="G15" s="100"/>
      <c r="H15" s="100"/>
      <c r="I15" s="100"/>
    </row>
    <row r="16" spans="1:9" x14ac:dyDescent="0.15">
      <c r="A16" s="103"/>
      <c r="B16" s="13"/>
      <c r="C16" s="13"/>
      <c r="D16" s="104"/>
      <c r="E16" s="13"/>
    </row>
    <row r="17" spans="1:6" x14ac:dyDescent="0.15">
      <c r="A17" s="13"/>
      <c r="B17" s="13"/>
      <c r="C17" s="13"/>
      <c r="D17" s="13"/>
      <c r="E17" s="13"/>
    </row>
    <row r="18" spans="1:6" x14ac:dyDescent="0.15">
      <c r="A18" s="105"/>
      <c r="B18" s="13"/>
      <c r="C18" s="13"/>
      <c r="D18" s="105"/>
      <c r="E18" s="105"/>
      <c r="F18" s="106"/>
    </row>
    <row r="19" spans="1:6" x14ac:dyDescent="0.15">
      <c r="A19" s="3" t="s">
        <v>3</v>
      </c>
      <c r="B19" s="4"/>
      <c r="C19" s="5" t="s">
        <v>48</v>
      </c>
      <c r="E19" s="4"/>
      <c r="F19" s="106"/>
    </row>
    <row r="20" spans="1:6" x14ac:dyDescent="0.15">
      <c r="A20" s="4"/>
      <c r="B20" s="4"/>
      <c r="C20" s="4"/>
      <c r="D20" s="4"/>
      <c r="E20" s="4"/>
      <c r="F20" s="106"/>
    </row>
    <row r="21" spans="1:6" x14ac:dyDescent="0.15">
      <c r="A21" s="8" t="s">
        <v>15</v>
      </c>
      <c r="B21" s="4"/>
      <c r="C21" s="4"/>
      <c r="D21" s="9" t="s">
        <v>1</v>
      </c>
      <c r="E21" s="10" t="s">
        <v>16</v>
      </c>
      <c r="F21" s="106"/>
    </row>
    <row r="22" spans="1:6" x14ac:dyDescent="0.15">
      <c r="A22" s="8" t="s">
        <v>18</v>
      </c>
      <c r="B22" s="8" t="s">
        <v>19</v>
      </c>
      <c r="C22" s="4"/>
      <c r="D22" s="14" t="s">
        <v>20</v>
      </c>
      <c r="E22" s="15" t="s">
        <v>21</v>
      </c>
      <c r="F22" s="106"/>
    </row>
    <row r="23" spans="1:6" x14ac:dyDescent="0.15">
      <c r="A23" s="17" t="s">
        <v>24</v>
      </c>
      <c r="B23" s="81">
        <v>0</v>
      </c>
      <c r="C23" s="4"/>
      <c r="D23" s="19">
        <f>B23*0.01*22.4</f>
        <v>0</v>
      </c>
      <c r="E23" s="86">
        <f>B23*0.01*0.91</f>
        <v>0</v>
      </c>
      <c r="F23" s="106"/>
    </row>
    <row r="24" spans="1:6" x14ac:dyDescent="0.15">
      <c r="A24" s="17"/>
      <c r="B24" s="4"/>
      <c r="C24" s="4"/>
      <c r="D24" s="24"/>
      <c r="E24" s="87"/>
      <c r="F24" s="106"/>
    </row>
    <row r="25" spans="1:6" x14ac:dyDescent="0.15">
      <c r="A25" s="17" t="s">
        <v>25</v>
      </c>
      <c r="B25" s="81">
        <v>0</v>
      </c>
      <c r="C25" s="4"/>
      <c r="D25" s="24">
        <f>B25*0.01*14.4</f>
        <v>0</v>
      </c>
      <c r="E25" s="87">
        <f>B25*0.01*1.25</f>
        <v>0</v>
      </c>
      <c r="F25" s="106"/>
    </row>
    <row r="26" spans="1:6" x14ac:dyDescent="0.15">
      <c r="A26" s="17"/>
      <c r="B26" s="4"/>
      <c r="C26" s="4"/>
      <c r="D26" s="24"/>
      <c r="E26" s="87"/>
      <c r="F26" s="106"/>
    </row>
    <row r="27" spans="1:6" x14ac:dyDescent="0.15">
      <c r="A27" s="17" t="s">
        <v>26</v>
      </c>
      <c r="B27" s="81">
        <v>10</v>
      </c>
      <c r="C27" s="4"/>
      <c r="D27" s="24">
        <f>B27*0.01*10.4</f>
        <v>1.04</v>
      </c>
      <c r="E27" s="87">
        <f>B27*0.01*1.38</f>
        <v>0.13799999999999998</v>
      </c>
      <c r="F27" s="106"/>
    </row>
    <row r="28" spans="1:6" x14ac:dyDescent="0.15">
      <c r="A28" s="17"/>
      <c r="B28" s="4"/>
      <c r="C28" s="4"/>
      <c r="D28" s="24"/>
      <c r="E28" s="87"/>
      <c r="F28" s="106"/>
    </row>
    <row r="29" spans="1:6" x14ac:dyDescent="0.15">
      <c r="A29" s="17" t="s">
        <v>27</v>
      </c>
      <c r="B29" s="81">
        <v>130</v>
      </c>
      <c r="C29" s="4"/>
      <c r="D29" s="24">
        <f>B29*0.01*8.6</f>
        <v>11.18</v>
      </c>
      <c r="E29" s="87">
        <f>B29*0.01*1.5</f>
        <v>1.9500000000000002</v>
      </c>
    </row>
    <row r="30" spans="1:6" x14ac:dyDescent="0.15">
      <c r="A30" s="17"/>
      <c r="B30" s="4"/>
      <c r="C30" s="4"/>
      <c r="D30" s="38"/>
      <c r="E30" s="93"/>
    </row>
    <row r="31" spans="1:6" x14ac:dyDescent="0.15">
      <c r="A31" s="17" t="s">
        <v>28</v>
      </c>
      <c r="B31" s="81">
        <v>1</v>
      </c>
      <c r="C31" s="4"/>
      <c r="D31" s="24">
        <f>B31*0.01*7.8</f>
        <v>7.8E-2</v>
      </c>
      <c r="E31" s="87">
        <f>B31*0.01*1.63</f>
        <v>1.6299999999999999E-2</v>
      </c>
    </row>
    <row r="32" spans="1:6" x14ac:dyDescent="0.15">
      <c r="A32" s="4"/>
      <c r="B32" s="4"/>
      <c r="C32" s="4"/>
      <c r="D32" s="25"/>
      <c r="E32" s="87"/>
    </row>
    <row r="33" spans="1:6" x14ac:dyDescent="0.15">
      <c r="A33" s="17" t="s">
        <v>47</v>
      </c>
      <c r="B33" s="81">
        <v>0</v>
      </c>
      <c r="C33" s="4"/>
      <c r="D33" s="107">
        <f>B33*6.4*0.01</f>
        <v>0</v>
      </c>
      <c r="E33" s="108">
        <f>B33*0.01*1.69</f>
        <v>0</v>
      </c>
    </row>
    <row r="36" spans="1:6" x14ac:dyDescent="0.15">
      <c r="A36" s="51"/>
      <c r="B36" s="51"/>
      <c r="C36" s="52"/>
      <c r="D36" s="53" t="s">
        <v>1</v>
      </c>
      <c r="E36" s="53" t="s">
        <v>16</v>
      </c>
    </row>
    <row r="37" spans="1:6" x14ac:dyDescent="0.15">
      <c r="A37" s="56" t="s">
        <v>30</v>
      </c>
      <c r="B37" s="57"/>
      <c r="C37" s="57"/>
      <c r="D37" s="58">
        <f>SUM(D5:D33)</f>
        <v>28.337999999999997</v>
      </c>
      <c r="E37" s="58">
        <f>SUM(E5:E33)</f>
        <v>5.4632999999999994</v>
      </c>
      <c r="F37" s="85"/>
    </row>
    <row r="38" spans="1:6" x14ac:dyDescent="0.15">
      <c r="A38" s="61"/>
      <c r="B38" s="61"/>
      <c r="C38" s="62"/>
      <c r="D38" s="63" t="s">
        <v>20</v>
      </c>
      <c r="E38" s="63" t="s">
        <v>21</v>
      </c>
    </row>
  </sheetData>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view="pageBreakPreview" zoomScale="76" zoomScaleNormal="100" zoomScaleSheetLayoutView="76" workbookViewId="0">
      <selection activeCell="B9" sqref="B9"/>
    </sheetView>
  </sheetViews>
  <sheetFormatPr defaultRowHeight="12.75" x14ac:dyDescent="0.15"/>
  <cols>
    <col min="5" max="5" width="11.59375" customWidth="1"/>
  </cols>
  <sheetData>
    <row r="1" spans="1:7" x14ac:dyDescent="0.15">
      <c r="A1" s="3" t="s">
        <v>49</v>
      </c>
      <c r="B1" s="4"/>
      <c r="C1" s="5" t="s">
        <v>50</v>
      </c>
      <c r="E1" s="4"/>
    </row>
    <row r="2" spans="1:7" x14ac:dyDescent="0.15">
      <c r="A2" s="4"/>
      <c r="B2" s="4"/>
      <c r="C2" s="4"/>
      <c r="D2" s="4"/>
      <c r="E2" s="4"/>
    </row>
    <row r="3" spans="1:7" x14ac:dyDescent="0.15">
      <c r="A3" s="8" t="s">
        <v>15</v>
      </c>
      <c r="B3" s="4"/>
      <c r="C3" s="4"/>
      <c r="D3" s="9" t="s">
        <v>1</v>
      </c>
      <c r="E3" s="10" t="s">
        <v>51</v>
      </c>
      <c r="F3" s="85"/>
    </row>
    <row r="4" spans="1:7" x14ac:dyDescent="0.15">
      <c r="A4" s="8" t="s">
        <v>18</v>
      </c>
      <c r="B4" s="8" t="s">
        <v>19</v>
      </c>
      <c r="C4" s="4"/>
      <c r="D4" s="14" t="s">
        <v>20</v>
      </c>
      <c r="E4" s="15" t="s">
        <v>21</v>
      </c>
      <c r="F4" s="85"/>
    </row>
    <row r="5" spans="1:7" x14ac:dyDescent="0.15">
      <c r="A5" s="17" t="s">
        <v>24</v>
      </c>
      <c r="B5" s="81">
        <v>0</v>
      </c>
      <c r="C5" s="4"/>
      <c r="D5" s="19">
        <f>B5*0.04*22.4</f>
        <v>0</v>
      </c>
      <c r="E5" s="19">
        <f>B5*0.04*0.91</f>
        <v>0</v>
      </c>
      <c r="F5" s="85"/>
    </row>
    <row r="6" spans="1:7" x14ac:dyDescent="0.15">
      <c r="A6" s="17"/>
      <c r="B6" s="4"/>
      <c r="C6" s="4"/>
      <c r="D6" s="24"/>
      <c r="E6" s="24"/>
      <c r="F6" s="85"/>
    </row>
    <row r="7" spans="1:7" x14ac:dyDescent="0.15">
      <c r="A7" s="17" t="s">
        <v>25</v>
      </c>
      <c r="B7" s="81">
        <v>0</v>
      </c>
      <c r="C7" s="4"/>
      <c r="D7" s="24">
        <f>B7*0.04*14.4</f>
        <v>0</v>
      </c>
      <c r="E7" s="24">
        <f>B7*0.04*1.25</f>
        <v>0</v>
      </c>
      <c r="F7" s="85"/>
    </row>
    <row r="8" spans="1:7" x14ac:dyDescent="0.15">
      <c r="A8" s="17"/>
      <c r="B8" s="4"/>
      <c r="C8" s="4"/>
      <c r="D8" s="24"/>
      <c r="E8" s="24"/>
      <c r="F8" s="85"/>
    </row>
    <row r="9" spans="1:7" x14ac:dyDescent="0.15">
      <c r="A9" s="17" t="s">
        <v>26</v>
      </c>
      <c r="B9" s="81">
        <v>1342</v>
      </c>
      <c r="C9" s="4"/>
      <c r="D9" s="24">
        <f>B9*0.04*10.4</f>
        <v>558.27200000000005</v>
      </c>
      <c r="E9" s="24">
        <f>B9*0.04*1.38</f>
        <v>74.078399999999988</v>
      </c>
      <c r="F9" s="85"/>
    </row>
    <row r="10" spans="1:7" x14ac:dyDescent="0.15">
      <c r="A10" s="17"/>
      <c r="B10" s="4"/>
      <c r="C10" s="4"/>
      <c r="D10" s="24"/>
      <c r="E10" s="24"/>
      <c r="F10" s="85"/>
    </row>
    <row r="11" spans="1:7" x14ac:dyDescent="0.15">
      <c r="A11" s="94" t="s">
        <v>27</v>
      </c>
      <c r="B11" s="95">
        <v>180</v>
      </c>
      <c r="C11" s="96"/>
      <c r="D11" s="97">
        <f>B11*0.04*8.6</f>
        <v>61.92</v>
      </c>
      <c r="E11" s="97">
        <f>B11*0.04*1.5</f>
        <v>10.8</v>
      </c>
      <c r="F11" s="99"/>
      <c r="G11" s="100"/>
    </row>
    <row r="12" spans="1:7" x14ac:dyDescent="0.15">
      <c r="A12" s="17"/>
      <c r="B12" s="4"/>
      <c r="C12" s="4"/>
      <c r="D12" s="38"/>
      <c r="E12" s="38"/>
      <c r="F12" s="85"/>
    </row>
    <row r="13" spans="1:7" x14ac:dyDescent="0.15">
      <c r="A13" s="17" t="s">
        <v>28</v>
      </c>
      <c r="B13" s="81"/>
      <c r="C13" s="4"/>
      <c r="D13" s="24">
        <f>B13*0.04*7.8</f>
        <v>0</v>
      </c>
      <c r="E13" s="24">
        <f>B13*0.04*1.63</f>
        <v>0</v>
      </c>
      <c r="F13" s="85"/>
    </row>
    <row r="14" spans="1:7" x14ac:dyDescent="0.15">
      <c r="A14" s="4"/>
      <c r="B14" s="4"/>
      <c r="C14" s="4"/>
      <c r="D14" s="25"/>
      <c r="E14" s="25"/>
    </row>
    <row r="15" spans="1:7" x14ac:dyDescent="0.15">
      <c r="A15" s="17" t="s">
        <v>47</v>
      </c>
      <c r="B15" s="81">
        <v>0</v>
      </c>
      <c r="C15" s="4"/>
      <c r="D15" s="107">
        <f>B15*0.04*6.4</f>
        <v>0</v>
      </c>
      <c r="E15" s="109">
        <f>B15*0.04*1.69</f>
        <v>0</v>
      </c>
    </row>
    <row r="16" spans="1:7" x14ac:dyDescent="0.15">
      <c r="A16" s="103"/>
      <c r="B16" s="13"/>
      <c r="C16" s="13"/>
      <c r="D16" s="104"/>
      <c r="E16" s="13"/>
    </row>
    <row r="17" spans="1:6" x14ac:dyDescent="0.15">
      <c r="A17" s="13"/>
      <c r="B17" s="13"/>
      <c r="C17" s="13"/>
      <c r="D17" s="13"/>
      <c r="E17" s="13"/>
    </row>
    <row r="18" spans="1:6" x14ac:dyDescent="0.15">
      <c r="A18" s="105"/>
      <c r="B18" s="13"/>
      <c r="C18" s="13"/>
      <c r="D18" s="105"/>
      <c r="E18" s="105"/>
      <c r="F18" s="106"/>
    </row>
    <row r="19" spans="1:6" x14ac:dyDescent="0.15">
      <c r="A19" s="3" t="s">
        <v>49</v>
      </c>
      <c r="B19" s="4"/>
      <c r="C19" s="5" t="s">
        <v>52</v>
      </c>
      <c r="E19" s="4"/>
      <c r="F19" s="106"/>
    </row>
    <row r="20" spans="1:6" x14ac:dyDescent="0.15">
      <c r="A20" s="4"/>
      <c r="B20" s="4"/>
      <c r="C20" s="4"/>
      <c r="D20" s="4"/>
      <c r="E20" s="4"/>
      <c r="F20" s="106"/>
    </row>
    <row r="21" spans="1:6" x14ac:dyDescent="0.15">
      <c r="A21" s="8" t="s">
        <v>15</v>
      </c>
      <c r="B21" s="4"/>
      <c r="C21" s="4"/>
      <c r="D21" s="9" t="s">
        <v>1</v>
      </c>
      <c r="E21" s="10" t="s">
        <v>51</v>
      </c>
      <c r="F21" s="106"/>
    </row>
    <row r="22" spans="1:6" x14ac:dyDescent="0.15">
      <c r="A22" s="8" t="s">
        <v>18</v>
      </c>
      <c r="B22" s="8" t="s">
        <v>19</v>
      </c>
      <c r="C22" s="4"/>
      <c r="D22" s="14" t="s">
        <v>20</v>
      </c>
      <c r="E22" s="15" t="s">
        <v>21</v>
      </c>
      <c r="F22" s="106"/>
    </row>
    <row r="23" spans="1:6" x14ac:dyDescent="0.15">
      <c r="A23" s="17" t="s">
        <v>24</v>
      </c>
      <c r="B23" s="81">
        <v>0</v>
      </c>
      <c r="C23" s="4"/>
      <c r="D23" s="19">
        <f>B23*0.05*22.4</f>
        <v>0</v>
      </c>
      <c r="E23" s="19">
        <f>B23*0.05*0.91</f>
        <v>0</v>
      </c>
      <c r="F23" s="106"/>
    </row>
    <row r="24" spans="1:6" x14ac:dyDescent="0.15">
      <c r="A24" s="17"/>
      <c r="B24" s="4"/>
      <c r="C24" s="4"/>
      <c r="D24" s="24"/>
      <c r="E24" s="24"/>
      <c r="F24" s="106"/>
    </row>
    <row r="25" spans="1:6" x14ac:dyDescent="0.15">
      <c r="A25" s="17" t="s">
        <v>25</v>
      </c>
      <c r="B25" s="81">
        <v>0</v>
      </c>
      <c r="C25" s="4"/>
      <c r="D25" s="24">
        <f>B25*0.05*14.4</f>
        <v>0</v>
      </c>
      <c r="E25" s="24">
        <f>B25*0.05*1.25</f>
        <v>0</v>
      </c>
      <c r="F25" s="106"/>
    </row>
    <row r="26" spans="1:6" x14ac:dyDescent="0.15">
      <c r="A26" s="17"/>
      <c r="B26" s="4"/>
      <c r="C26" s="4"/>
      <c r="D26" s="24"/>
      <c r="E26" s="24"/>
      <c r="F26" s="106"/>
    </row>
    <row r="27" spans="1:6" x14ac:dyDescent="0.15">
      <c r="A27" s="17" t="s">
        <v>26</v>
      </c>
      <c r="B27" s="81">
        <v>0</v>
      </c>
      <c r="C27" s="4"/>
      <c r="D27" s="24">
        <f>B27*0.05*10.4</f>
        <v>0</v>
      </c>
      <c r="E27" s="24">
        <f>B27*0.05*1.38</f>
        <v>0</v>
      </c>
      <c r="F27" s="106"/>
    </row>
    <row r="28" spans="1:6" x14ac:dyDescent="0.15">
      <c r="A28" s="17"/>
      <c r="B28" s="4"/>
      <c r="C28" s="4"/>
      <c r="D28" s="24"/>
      <c r="E28" s="24"/>
      <c r="F28" s="106"/>
    </row>
    <row r="29" spans="1:6" x14ac:dyDescent="0.15">
      <c r="A29" s="17" t="s">
        <v>27</v>
      </c>
      <c r="B29" s="81">
        <v>580</v>
      </c>
      <c r="C29" s="4"/>
      <c r="D29" s="24">
        <f>B29*0.05*8.6</f>
        <v>249.39999999999998</v>
      </c>
      <c r="E29" s="24">
        <f>B29*0.05*1.5</f>
        <v>43.5</v>
      </c>
    </row>
    <row r="30" spans="1:6" x14ac:dyDescent="0.15">
      <c r="A30" s="17"/>
      <c r="B30" s="4"/>
      <c r="C30" s="4"/>
      <c r="D30" s="38"/>
      <c r="E30" s="38"/>
    </row>
    <row r="31" spans="1:6" x14ac:dyDescent="0.15">
      <c r="A31" s="17" t="s">
        <v>28</v>
      </c>
      <c r="B31" s="81">
        <v>18.3</v>
      </c>
      <c r="C31" s="4"/>
      <c r="D31" s="24">
        <f>B31*0.05*7.8</f>
        <v>7.1370000000000005</v>
      </c>
      <c r="E31" s="24">
        <f>B31*0.05*1.63</f>
        <v>1.4914499999999999</v>
      </c>
    </row>
    <row r="32" spans="1:6" x14ac:dyDescent="0.15">
      <c r="A32" s="4"/>
      <c r="B32" s="4"/>
      <c r="C32" s="4"/>
      <c r="D32" s="25"/>
      <c r="E32" s="25"/>
    </row>
    <row r="33" spans="1:7" x14ac:dyDescent="0.15">
      <c r="A33" s="17" t="s">
        <v>47</v>
      </c>
      <c r="B33" s="81">
        <v>0</v>
      </c>
      <c r="C33" s="4"/>
      <c r="D33" s="107">
        <f>B33*6.4*0.05</f>
        <v>0</v>
      </c>
      <c r="E33" s="109">
        <f>B33*0.05*1.69</f>
        <v>0</v>
      </c>
    </row>
    <row r="36" spans="1:7" x14ac:dyDescent="0.15">
      <c r="A36" s="51"/>
      <c r="B36" s="51"/>
      <c r="C36" s="52"/>
      <c r="D36" s="53" t="s">
        <v>1</v>
      </c>
      <c r="E36" s="53" t="s">
        <v>16</v>
      </c>
      <c r="G36">
        <f>3*8</f>
        <v>24</v>
      </c>
    </row>
    <row r="37" spans="1:7" x14ac:dyDescent="0.15">
      <c r="A37" s="56" t="s">
        <v>30</v>
      </c>
      <c r="B37" s="57"/>
      <c r="C37" s="57"/>
      <c r="D37" s="58">
        <f>SUM(D5:D33)</f>
        <v>876.72900000000004</v>
      </c>
      <c r="E37" s="58">
        <f>SUM(E5:E33)</f>
        <v>129.86984999999999</v>
      </c>
      <c r="G37">
        <f>3*1.6</f>
        <v>4.8000000000000007</v>
      </c>
    </row>
    <row r="38" spans="1:7" x14ac:dyDescent="0.15">
      <c r="A38" s="61"/>
      <c r="B38" s="61"/>
      <c r="C38" s="62"/>
      <c r="D38" s="63" t="s">
        <v>20</v>
      </c>
      <c r="E38" s="63" t="s">
        <v>21</v>
      </c>
    </row>
  </sheetData>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zoomScale="76" zoomScaleNormal="100" zoomScaleSheetLayoutView="76" workbookViewId="0">
      <selection activeCell="G29" sqref="G29"/>
    </sheetView>
  </sheetViews>
  <sheetFormatPr defaultRowHeight="12.75" x14ac:dyDescent="0.15"/>
  <cols>
    <col min="1" max="2" width="9.16796875" style="111" customWidth="1"/>
    <col min="3" max="3" width="9.9765625" style="111" customWidth="1"/>
    <col min="4" max="6" width="9.84375" style="111" customWidth="1"/>
    <col min="7" max="7" width="14.0234375" style="111" customWidth="1"/>
    <col min="8" max="9" width="9.16796875" style="111" customWidth="1"/>
  </cols>
  <sheetData>
    <row r="1" spans="1:8" x14ac:dyDescent="0.15">
      <c r="A1" s="110" t="s">
        <v>53</v>
      </c>
      <c r="B1" s="1"/>
      <c r="E1" s="1" t="s">
        <v>54</v>
      </c>
      <c r="F1" s="1"/>
    </row>
    <row r="3" spans="1:8" x14ac:dyDescent="0.15">
      <c r="A3" s="112" t="s">
        <v>55</v>
      </c>
      <c r="B3" s="112"/>
      <c r="C3" s="112" t="s">
        <v>56</v>
      </c>
      <c r="D3" s="112" t="s">
        <v>57</v>
      </c>
      <c r="E3" s="112" t="s">
        <v>58</v>
      </c>
      <c r="F3" s="112"/>
      <c r="G3" s="113" t="s">
        <v>59</v>
      </c>
    </row>
    <row r="4" spans="1:8" ht="13.5" thickBot="1" x14ac:dyDescent="0.2">
      <c r="G4" s="1"/>
    </row>
    <row r="5" spans="1:8" ht="13.5" thickBot="1" x14ac:dyDescent="0.2">
      <c r="A5" s="114">
        <v>1</v>
      </c>
      <c r="B5" s="115"/>
      <c r="C5" s="116">
        <f>A5/30</f>
        <v>3.3333333333333333E-2</v>
      </c>
      <c r="D5" s="116">
        <f>A5/40</f>
        <v>2.5000000000000001E-2</v>
      </c>
      <c r="E5" s="117">
        <f>A5/50</f>
        <v>0.02</v>
      </c>
      <c r="F5" s="118"/>
      <c r="G5" s="452">
        <f>SUM(C5:E5)</f>
        <v>7.8333333333333338E-2</v>
      </c>
      <c r="H5" s="408" t="s">
        <v>60</v>
      </c>
    </row>
    <row r="9" spans="1:8" x14ac:dyDescent="0.15">
      <c r="A9" s="110" t="s">
        <v>61</v>
      </c>
      <c r="B9" s="1"/>
      <c r="E9" s="1" t="s">
        <v>54</v>
      </c>
      <c r="F9" s="1"/>
    </row>
    <row r="11" spans="1:8" x14ac:dyDescent="0.15">
      <c r="A11" s="112" t="s">
        <v>55</v>
      </c>
      <c r="B11" s="112"/>
      <c r="C11" s="112" t="s">
        <v>56</v>
      </c>
      <c r="D11" s="112" t="s">
        <v>57</v>
      </c>
      <c r="E11" s="112" t="s">
        <v>58</v>
      </c>
      <c r="F11" s="112"/>
      <c r="G11" s="113" t="s">
        <v>59</v>
      </c>
    </row>
    <row r="12" spans="1:8" ht="13.5" thickBot="1" x14ac:dyDescent="0.2">
      <c r="G12" s="1"/>
    </row>
    <row r="13" spans="1:8" ht="13.5" thickBot="1" x14ac:dyDescent="0.2">
      <c r="A13" s="114">
        <v>122</v>
      </c>
      <c r="B13" s="115"/>
      <c r="C13" s="116">
        <f>A13/40</f>
        <v>3.05</v>
      </c>
      <c r="D13" s="116">
        <f>A13/50</f>
        <v>2.44</v>
      </c>
      <c r="E13" s="117">
        <f>A13/50</f>
        <v>2.44</v>
      </c>
      <c r="F13" s="118"/>
      <c r="G13" s="119">
        <f>SUM(C13:E13)</f>
        <v>7.93</v>
      </c>
      <c r="H13" s="111" t="s">
        <v>60</v>
      </c>
    </row>
    <row r="17" spans="1:8" x14ac:dyDescent="0.15">
      <c r="A17" s="110" t="s">
        <v>62</v>
      </c>
      <c r="B17" s="1"/>
      <c r="E17" s="1" t="s">
        <v>54</v>
      </c>
      <c r="F17" s="1"/>
    </row>
    <row r="19" spans="1:8" x14ac:dyDescent="0.15">
      <c r="A19" s="112" t="s">
        <v>55</v>
      </c>
      <c r="B19" s="112"/>
      <c r="C19" s="112" t="s">
        <v>56</v>
      </c>
      <c r="D19" s="112" t="s">
        <v>57</v>
      </c>
      <c r="E19" s="112" t="s">
        <v>58</v>
      </c>
      <c r="F19" s="112"/>
      <c r="G19" s="113" t="s">
        <v>59</v>
      </c>
    </row>
    <row r="20" spans="1:8" ht="13.5" thickBot="1" x14ac:dyDescent="0.2">
      <c r="G20" s="1"/>
    </row>
    <row r="21" spans="1:8" ht="13.5" thickBot="1" x14ac:dyDescent="0.2">
      <c r="A21" s="114"/>
      <c r="B21" s="115"/>
      <c r="C21" s="116">
        <f>A21/40</f>
        <v>0</v>
      </c>
      <c r="D21" s="116">
        <f>A21/45</f>
        <v>0</v>
      </c>
      <c r="E21" s="117">
        <f>A21/45</f>
        <v>0</v>
      </c>
      <c r="F21" s="118"/>
      <c r="G21" s="119">
        <f>SUM(C21:E21)</f>
        <v>0</v>
      </c>
      <c r="H21" s="111" t="s">
        <v>60</v>
      </c>
    </row>
    <row r="25" spans="1:8" x14ac:dyDescent="0.15">
      <c r="A25" s="110" t="s">
        <v>63</v>
      </c>
      <c r="B25" s="1"/>
      <c r="E25" s="1" t="s">
        <v>54</v>
      </c>
      <c r="F25" s="1"/>
    </row>
    <row r="27" spans="1:8" x14ac:dyDescent="0.15">
      <c r="A27" s="112" t="s">
        <v>55</v>
      </c>
      <c r="B27" s="112"/>
      <c r="C27" s="112" t="s">
        <v>56</v>
      </c>
      <c r="D27" s="112" t="s">
        <v>57</v>
      </c>
      <c r="E27" s="112" t="s">
        <v>58</v>
      </c>
      <c r="F27" s="112"/>
      <c r="G27" s="113" t="s">
        <v>59</v>
      </c>
    </row>
    <row r="28" spans="1:8" ht="13.5" thickBot="1" x14ac:dyDescent="0.2">
      <c r="G28" s="1"/>
    </row>
    <row r="29" spans="1:8" ht="13.5" thickBot="1" x14ac:dyDescent="0.2">
      <c r="A29" s="114">
        <v>1</v>
      </c>
      <c r="B29" s="115"/>
      <c r="C29" s="116">
        <f>A29/45</f>
        <v>2.2222222222222223E-2</v>
      </c>
      <c r="D29" s="116">
        <f>A29/50</f>
        <v>0.02</v>
      </c>
      <c r="E29" s="117">
        <f>A29/45</f>
        <v>2.2222222222222223E-2</v>
      </c>
      <c r="F29" s="118"/>
      <c r="G29" s="452">
        <f>SUM(C29:E29)</f>
        <v>6.4444444444444443E-2</v>
      </c>
      <c r="H29" s="111" t="s">
        <v>60</v>
      </c>
    </row>
    <row r="33" spans="1:8" x14ac:dyDescent="0.15">
      <c r="A33" s="110" t="s">
        <v>64</v>
      </c>
      <c r="B33" s="1"/>
      <c r="E33" s="1" t="s">
        <v>54</v>
      </c>
      <c r="F33" s="1"/>
    </row>
    <row r="35" spans="1:8" x14ac:dyDescent="0.15">
      <c r="A35" s="112" t="s">
        <v>55</v>
      </c>
      <c r="B35" s="112"/>
      <c r="C35" s="112" t="s">
        <v>56</v>
      </c>
      <c r="D35" s="112" t="s">
        <v>57</v>
      </c>
      <c r="E35" s="112" t="s">
        <v>58</v>
      </c>
      <c r="F35" s="112"/>
      <c r="G35" s="113" t="s">
        <v>59</v>
      </c>
    </row>
    <row r="36" spans="1:8" ht="13.5" thickBot="1" x14ac:dyDescent="0.2">
      <c r="G36" s="1"/>
    </row>
    <row r="37" spans="1:8" ht="13.5" thickBot="1" x14ac:dyDescent="0.2">
      <c r="A37" s="114">
        <v>1</v>
      </c>
      <c r="B37" s="115"/>
      <c r="C37" s="116">
        <f>A37/35</f>
        <v>2.8571428571428571E-2</v>
      </c>
      <c r="D37" s="116">
        <f>A37/40</f>
        <v>2.5000000000000001E-2</v>
      </c>
      <c r="E37" s="117">
        <f>A37/50</f>
        <v>0.02</v>
      </c>
      <c r="F37" s="118"/>
      <c r="G37" s="452">
        <f>SUM(C37:E37)</f>
        <v>7.3571428571428579E-2</v>
      </c>
      <c r="H37" s="111" t="s">
        <v>60</v>
      </c>
    </row>
    <row r="44" spans="1:8" x14ac:dyDescent="0.15">
      <c r="E44" s="447">
        <f>D5+E5+D13+E13</f>
        <v>4.9249999999999998</v>
      </c>
      <c r="G44" s="447">
        <f>D29+E29+D37+E37</f>
        <v>8.7222222222222229E-2</v>
      </c>
    </row>
    <row r="45" spans="1:8" x14ac:dyDescent="0.15">
      <c r="C45" s="447">
        <f>C37+C29+C13+C5</f>
        <v>3.1341269841269837</v>
      </c>
    </row>
  </sheetData>
  <pageMargins left="0.7" right="0.7" top="0.75" bottom="0.75" header="0.3" footer="0.3"/>
  <pageSetup paperSize="9" scale="97"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1"/>
  <sheetViews>
    <sheetView topLeftCell="A45" workbookViewId="0">
      <selection activeCell="G36" sqref="G36"/>
    </sheetView>
  </sheetViews>
  <sheetFormatPr defaultRowHeight="12.75" x14ac:dyDescent="0.15"/>
  <cols>
    <col min="1" max="1" width="11.59375" customWidth="1"/>
    <col min="2" max="2" width="7.14453125" customWidth="1"/>
    <col min="3" max="3" width="12.26953125" customWidth="1"/>
    <col min="4" max="4" width="11.73046875" customWidth="1"/>
    <col min="5" max="5" width="11.59375" customWidth="1"/>
    <col min="6" max="7" width="12.40625" customWidth="1"/>
    <col min="8" max="8" width="14.6953125" customWidth="1"/>
    <col min="9" max="9" width="10.24609375" customWidth="1"/>
    <col min="10" max="10" width="9.57421875" customWidth="1"/>
    <col min="11" max="11" width="9.84375" customWidth="1"/>
  </cols>
  <sheetData>
    <row r="1" spans="1:13" x14ac:dyDescent="0.15">
      <c r="A1" t="s">
        <v>767</v>
      </c>
    </row>
    <row r="3" spans="1:13" x14ac:dyDescent="0.15">
      <c r="A3" s="553" t="s">
        <v>768</v>
      </c>
      <c r="B3" s="426"/>
      <c r="C3" s="553" t="s">
        <v>769</v>
      </c>
      <c r="D3" s="553" t="s">
        <v>770</v>
      </c>
      <c r="E3" s="553" t="s">
        <v>771</v>
      </c>
      <c r="F3" s="553" t="s">
        <v>772</v>
      </c>
      <c r="G3" s="427"/>
      <c r="I3" s="551" t="s">
        <v>773</v>
      </c>
      <c r="J3" s="552"/>
      <c r="K3" s="552"/>
      <c r="L3" s="552"/>
    </row>
    <row r="4" spans="1:13" x14ac:dyDescent="0.15">
      <c r="A4" s="554"/>
      <c r="B4" s="428"/>
      <c r="C4" s="554"/>
      <c r="D4" s="554"/>
      <c r="E4" s="554"/>
      <c r="F4" s="554"/>
      <c r="G4" s="427"/>
      <c r="H4" s="429" t="s">
        <v>774</v>
      </c>
      <c r="I4" s="429" t="s">
        <v>775</v>
      </c>
      <c r="J4" s="429" t="s">
        <v>776</v>
      </c>
      <c r="K4" s="429" t="s">
        <v>777</v>
      </c>
      <c r="L4" s="429" t="s">
        <v>778</v>
      </c>
    </row>
    <row r="5" spans="1:13" x14ac:dyDescent="0.15">
      <c r="A5" s="430">
        <v>43.96</v>
      </c>
      <c r="B5" s="430"/>
      <c r="C5" s="430">
        <v>8.4600000000000009</v>
      </c>
      <c r="D5" s="430">
        <v>0</v>
      </c>
      <c r="E5" s="430">
        <v>0</v>
      </c>
      <c r="F5" s="430">
        <v>49</v>
      </c>
      <c r="G5" s="106"/>
      <c r="H5" s="431"/>
      <c r="I5" s="431"/>
      <c r="J5" s="431"/>
      <c r="K5" s="431"/>
      <c r="L5" s="431"/>
    </row>
    <row r="6" spans="1:13" x14ac:dyDescent="0.15">
      <c r="A6" s="430">
        <v>0</v>
      </c>
      <c r="B6" s="430"/>
      <c r="C6" s="430">
        <v>0</v>
      </c>
      <c r="D6" s="430">
        <v>0</v>
      </c>
      <c r="E6" s="430">
        <v>0</v>
      </c>
      <c r="F6" s="430">
        <v>0</v>
      </c>
      <c r="G6" s="106"/>
      <c r="H6" s="432">
        <v>11.71</v>
      </c>
      <c r="I6" s="432">
        <v>21.28</v>
      </c>
      <c r="J6" s="432">
        <v>0</v>
      </c>
      <c r="K6" s="432">
        <v>0</v>
      </c>
      <c r="L6" s="432">
        <v>16.899999999999999</v>
      </c>
      <c r="M6" t="s">
        <v>84</v>
      </c>
    </row>
    <row r="7" spans="1:13" x14ac:dyDescent="0.15">
      <c r="A7" s="430">
        <v>0</v>
      </c>
      <c r="B7" s="430"/>
      <c r="C7" s="430">
        <v>0</v>
      </c>
      <c r="D7" s="430">
        <v>0</v>
      </c>
      <c r="E7" s="430">
        <v>0</v>
      </c>
      <c r="F7" s="430">
        <v>0</v>
      </c>
      <c r="G7" s="106"/>
    </row>
    <row r="8" spans="1:13" x14ac:dyDescent="0.15">
      <c r="A8" s="430">
        <v>0</v>
      </c>
      <c r="B8" s="430"/>
      <c r="C8" s="430">
        <v>0</v>
      </c>
      <c r="D8" s="430">
        <v>0</v>
      </c>
      <c r="E8" s="430">
        <v>0</v>
      </c>
      <c r="F8" s="430">
        <v>0</v>
      </c>
      <c r="G8" s="106"/>
    </row>
    <row r="9" spans="1:13" x14ac:dyDescent="0.15">
      <c r="A9" s="430">
        <v>0</v>
      </c>
      <c r="B9" s="430"/>
      <c r="C9" s="430">
        <v>0</v>
      </c>
      <c r="D9" s="430">
        <v>0</v>
      </c>
      <c r="E9" s="430">
        <v>0</v>
      </c>
      <c r="F9" s="430">
        <v>0</v>
      </c>
      <c r="G9" s="106"/>
      <c r="I9" s="1" t="s">
        <v>779</v>
      </c>
    </row>
    <row r="10" spans="1:13" x14ac:dyDescent="0.15">
      <c r="A10" s="430">
        <v>0</v>
      </c>
      <c r="B10" s="430"/>
      <c r="C10" s="430"/>
      <c r="D10" s="430">
        <v>0</v>
      </c>
      <c r="E10" s="430">
        <v>0</v>
      </c>
      <c r="F10" s="430">
        <v>0</v>
      </c>
      <c r="G10" s="106"/>
      <c r="H10" s="429" t="s">
        <v>780</v>
      </c>
      <c r="I10" s="429" t="s">
        <v>775</v>
      </c>
      <c r="J10" s="429" t="s">
        <v>776</v>
      </c>
      <c r="K10" s="429" t="s">
        <v>777</v>
      </c>
      <c r="L10" s="429" t="s">
        <v>778</v>
      </c>
    </row>
    <row r="11" spans="1:13" x14ac:dyDescent="0.15">
      <c r="A11" s="430">
        <v>0</v>
      </c>
      <c r="B11" s="430"/>
      <c r="C11" s="430"/>
      <c r="D11" s="430">
        <v>0</v>
      </c>
      <c r="E11" s="430">
        <v>0</v>
      </c>
      <c r="F11" s="430">
        <v>0</v>
      </c>
      <c r="G11" s="106"/>
      <c r="H11" s="431"/>
      <c r="I11" s="431"/>
      <c r="J11" s="431"/>
      <c r="K11" s="431"/>
      <c r="L11" s="431"/>
    </row>
    <row r="12" spans="1:13" x14ac:dyDescent="0.15">
      <c r="A12" s="430">
        <v>0</v>
      </c>
      <c r="B12" s="430"/>
      <c r="C12" s="430"/>
      <c r="D12" s="430">
        <v>0</v>
      </c>
      <c r="E12" s="430">
        <v>0</v>
      </c>
      <c r="F12" s="430">
        <v>0</v>
      </c>
      <c r="G12" s="106"/>
      <c r="H12" s="433">
        <v>2.72</v>
      </c>
      <c r="I12" s="433">
        <v>2.72</v>
      </c>
      <c r="J12" s="433">
        <v>2.72</v>
      </c>
      <c r="K12" s="433">
        <v>2.72</v>
      </c>
      <c r="L12" s="433">
        <v>2.72</v>
      </c>
    </row>
    <row r="13" spans="1:13" x14ac:dyDescent="0.15">
      <c r="A13" s="430">
        <v>0</v>
      </c>
      <c r="B13" s="430"/>
      <c r="C13" s="430"/>
      <c r="D13" s="430">
        <v>0</v>
      </c>
      <c r="E13" s="430">
        <v>0</v>
      </c>
      <c r="F13" s="430">
        <v>0</v>
      </c>
      <c r="G13" s="106"/>
    </row>
    <row r="14" spans="1:13" x14ac:dyDescent="0.15">
      <c r="A14" s="430">
        <v>0</v>
      </c>
      <c r="B14" s="430"/>
      <c r="C14" s="430"/>
      <c r="D14" s="430">
        <v>0</v>
      </c>
      <c r="E14" s="430">
        <v>0</v>
      </c>
      <c r="F14" s="430">
        <v>0</v>
      </c>
      <c r="G14" s="106"/>
    </row>
    <row r="15" spans="1:13" x14ac:dyDescent="0.15">
      <c r="A15" s="430">
        <v>0</v>
      </c>
      <c r="B15" s="430"/>
      <c r="C15" s="430"/>
      <c r="D15" s="430">
        <v>0</v>
      </c>
      <c r="E15" s="430">
        <v>0</v>
      </c>
      <c r="F15" s="430">
        <v>0</v>
      </c>
      <c r="G15" s="106"/>
      <c r="I15" s="1" t="s">
        <v>781</v>
      </c>
    </row>
    <row r="16" spans="1:13" x14ac:dyDescent="0.15">
      <c r="A16" s="430">
        <v>0</v>
      </c>
      <c r="B16" s="430"/>
      <c r="C16" s="430"/>
      <c r="D16" s="430">
        <v>0</v>
      </c>
      <c r="E16" s="430">
        <v>0</v>
      </c>
      <c r="F16" s="430">
        <v>0</v>
      </c>
      <c r="G16" s="106"/>
      <c r="H16" s="429" t="s">
        <v>782</v>
      </c>
      <c r="I16" s="429" t="s">
        <v>775</v>
      </c>
      <c r="J16" s="429" t="s">
        <v>776</v>
      </c>
      <c r="K16" s="429" t="s">
        <v>777</v>
      </c>
      <c r="L16" s="429" t="s">
        <v>778</v>
      </c>
    </row>
    <row r="17" spans="1:12" x14ac:dyDescent="0.15">
      <c r="A17" s="430">
        <v>0</v>
      </c>
      <c r="B17" s="430"/>
      <c r="C17" s="430"/>
      <c r="D17" s="430">
        <v>0</v>
      </c>
      <c r="E17" s="430">
        <v>0</v>
      </c>
      <c r="F17" s="430">
        <v>0</v>
      </c>
      <c r="G17" s="106"/>
      <c r="H17" s="431"/>
      <c r="I17" s="431"/>
      <c r="J17" s="431"/>
      <c r="K17" s="431"/>
      <c r="L17" s="431"/>
    </row>
    <row r="18" spans="1:12" x14ac:dyDescent="0.15">
      <c r="A18" s="430">
        <v>0</v>
      </c>
      <c r="B18" s="430"/>
      <c r="C18" s="430"/>
      <c r="D18" s="430">
        <v>0</v>
      </c>
      <c r="E18" s="430">
        <v>0</v>
      </c>
      <c r="F18" s="430">
        <v>0</v>
      </c>
      <c r="G18" s="106"/>
      <c r="H18" s="434">
        <f>+(C19*H12)-H6</f>
        <v>11.301200000000001</v>
      </c>
      <c r="I18" s="434">
        <f>(I12*A19)-I6</f>
        <v>98.291200000000003</v>
      </c>
      <c r="J18" s="434">
        <f>(J12*E19)-J6</f>
        <v>0</v>
      </c>
      <c r="K18" s="434">
        <f>(K12*D19)-K6</f>
        <v>0</v>
      </c>
      <c r="L18" s="434">
        <f>(L12*F19)-L6</f>
        <v>116.38</v>
      </c>
    </row>
    <row r="19" spans="1:12" ht="13.5" thickBot="1" x14ac:dyDescent="0.2">
      <c r="A19" s="435">
        <f>SUM(A3:A18)</f>
        <v>43.96</v>
      </c>
      <c r="B19" s="435"/>
      <c r="C19" s="435">
        <f>SUM(C3:C18)</f>
        <v>8.4600000000000009</v>
      </c>
      <c r="D19" s="435">
        <f>SUM(D3:D18)</f>
        <v>0</v>
      </c>
      <c r="E19" s="435">
        <f>SUM(E3:E18)</f>
        <v>0</v>
      </c>
      <c r="F19" s="435">
        <f>SUM(F3:F18)</f>
        <v>49</v>
      </c>
      <c r="G19" s="436"/>
    </row>
    <row r="20" spans="1:12" ht="13.5" thickTop="1" x14ac:dyDescent="0.15"/>
    <row r="21" spans="1:12" x14ac:dyDescent="0.15">
      <c r="A21" s="1" t="s">
        <v>783</v>
      </c>
      <c r="B21" s="1"/>
      <c r="C21" s="1"/>
    </row>
    <row r="22" spans="1:12" x14ac:dyDescent="0.15">
      <c r="E22" s="113" t="s">
        <v>55</v>
      </c>
      <c r="F22" s="113" t="s">
        <v>131</v>
      </c>
      <c r="G22" s="113"/>
    </row>
    <row r="23" spans="1:12" x14ac:dyDescent="0.15">
      <c r="A23" t="s">
        <v>784</v>
      </c>
      <c r="E23">
        <f>16.95+15.5</f>
        <v>32.450000000000003</v>
      </c>
      <c r="F23">
        <f>14.18+25.76</f>
        <v>39.94</v>
      </c>
    </row>
    <row r="24" spans="1:12" x14ac:dyDescent="0.15">
      <c r="A24" t="s">
        <v>785</v>
      </c>
      <c r="E24">
        <v>13.97</v>
      </c>
      <c r="F24">
        <v>14.21</v>
      </c>
    </row>
    <row r="25" spans="1:12" x14ac:dyDescent="0.15">
      <c r="A25" t="s">
        <v>786</v>
      </c>
      <c r="E25">
        <f>12.36+10.35+10.71</f>
        <v>33.42</v>
      </c>
      <c r="F25">
        <f>13.43+12.09+12.33</f>
        <v>37.85</v>
      </c>
    </row>
    <row r="26" spans="1:12" x14ac:dyDescent="0.15">
      <c r="A26" t="s">
        <v>8</v>
      </c>
      <c r="E26">
        <f>1.8+2.78+3.06+1.8+8.71</f>
        <v>18.150000000000002</v>
      </c>
      <c r="F26">
        <f>4.99+6.36+6.54+4.99+12.04</f>
        <v>34.92</v>
      </c>
    </row>
    <row r="28" spans="1:12" x14ac:dyDescent="0.15">
      <c r="A28" t="s">
        <v>787</v>
      </c>
      <c r="E28">
        <f>SUM(E23:E26)</f>
        <v>97.990000000000009</v>
      </c>
      <c r="F28">
        <v>318</v>
      </c>
    </row>
    <row r="31" spans="1:12" x14ac:dyDescent="0.15">
      <c r="A31" t="s">
        <v>788</v>
      </c>
      <c r="D31" s="437" t="s">
        <v>789</v>
      </c>
      <c r="E31" s="443" t="s">
        <v>803</v>
      </c>
      <c r="F31" s="437" t="s">
        <v>790</v>
      </c>
    </row>
    <row r="32" spans="1:12" x14ac:dyDescent="0.15">
      <c r="D32" s="437">
        <v>85</v>
      </c>
      <c r="E32" s="437">
        <v>12.5</v>
      </c>
      <c r="F32" s="441">
        <f>D32/0.998629534754573</f>
        <v>85.116649409823367</v>
      </c>
    </row>
    <row r="33" spans="1:7" x14ac:dyDescent="0.15">
      <c r="D33" s="437">
        <v>0</v>
      </c>
      <c r="E33" s="437">
        <v>17.5</v>
      </c>
      <c r="F33" s="441">
        <f>D33/0.953716950748227</f>
        <v>0</v>
      </c>
    </row>
    <row r="34" spans="1:7" x14ac:dyDescent="0.15">
      <c r="D34" s="437">
        <f>+F28</f>
        <v>318</v>
      </c>
      <c r="E34" s="437">
        <v>30</v>
      </c>
      <c r="F34" s="441">
        <f>D34/0.8660254</f>
        <v>367.19477280920398</v>
      </c>
    </row>
    <row r="35" spans="1:7" x14ac:dyDescent="0.15">
      <c r="D35" s="438" t="s">
        <v>59</v>
      </c>
      <c r="E35" s="438"/>
      <c r="F35" s="442">
        <f>SUM(F32:F34)</f>
        <v>452.31142221902735</v>
      </c>
    </row>
    <row r="37" spans="1:7" x14ac:dyDescent="0.15">
      <c r="A37" t="s">
        <v>791</v>
      </c>
    </row>
    <row r="38" spans="1:7" x14ac:dyDescent="0.15">
      <c r="A38" s="437" t="s">
        <v>792</v>
      </c>
      <c r="B38" s="437" t="s">
        <v>616</v>
      </c>
      <c r="C38" s="437" t="s">
        <v>793</v>
      </c>
      <c r="D38" s="437" t="s">
        <v>794</v>
      </c>
      <c r="E38" s="437" t="s">
        <v>55</v>
      </c>
      <c r="F38" s="437" t="s">
        <v>795</v>
      </c>
      <c r="G38" s="437" t="s">
        <v>796</v>
      </c>
    </row>
    <row r="39" spans="1:7" x14ac:dyDescent="0.15">
      <c r="A39" s="437"/>
      <c r="B39" s="437"/>
      <c r="C39" s="437"/>
      <c r="D39" s="437"/>
      <c r="E39" s="437"/>
      <c r="F39" s="437"/>
      <c r="G39" s="437"/>
    </row>
    <row r="40" spans="1:7" x14ac:dyDescent="0.15">
      <c r="A40" s="437" t="s">
        <v>797</v>
      </c>
      <c r="B40" s="437">
        <v>1</v>
      </c>
      <c r="C40" s="437">
        <v>1.022</v>
      </c>
      <c r="D40" s="437">
        <v>0.65400000000000003</v>
      </c>
      <c r="E40" s="437">
        <f>B40*C40*D40</f>
        <v>0.66838800000000009</v>
      </c>
      <c r="F40" s="437">
        <f t="shared" ref="F40:F52" si="0">+E40</f>
        <v>0.66838800000000009</v>
      </c>
      <c r="G40" s="437"/>
    </row>
    <row r="41" spans="1:7" x14ac:dyDescent="0.15">
      <c r="A41" s="437" t="s">
        <v>797</v>
      </c>
      <c r="B41" s="437">
        <v>1</v>
      </c>
      <c r="C41" s="437">
        <v>1.022</v>
      </c>
      <c r="D41" s="437">
        <v>0.65400000000000003</v>
      </c>
      <c r="E41" s="437">
        <f t="shared" ref="E41:E52" si="1">B41*C41*D41</f>
        <v>0.66838800000000009</v>
      </c>
      <c r="F41" s="437">
        <f t="shared" si="0"/>
        <v>0.66838800000000009</v>
      </c>
      <c r="G41" s="437"/>
    </row>
    <row r="42" spans="1:7" x14ac:dyDescent="0.15">
      <c r="A42" s="437" t="s">
        <v>798</v>
      </c>
      <c r="B42" s="437">
        <v>1</v>
      </c>
      <c r="C42" s="437">
        <v>2</v>
      </c>
      <c r="D42" s="437">
        <v>1.248</v>
      </c>
      <c r="E42" s="437">
        <f t="shared" si="1"/>
        <v>2.496</v>
      </c>
      <c r="F42" s="437">
        <f t="shared" si="0"/>
        <v>2.496</v>
      </c>
      <c r="G42" s="437"/>
    </row>
    <row r="43" spans="1:7" x14ac:dyDescent="0.15">
      <c r="A43" s="437" t="s">
        <v>798</v>
      </c>
      <c r="B43" s="437">
        <v>1</v>
      </c>
      <c r="C43" s="437">
        <v>2</v>
      </c>
      <c r="D43" s="437">
        <v>1.248</v>
      </c>
      <c r="E43" s="437">
        <f t="shared" si="1"/>
        <v>2.496</v>
      </c>
      <c r="F43" s="437">
        <f t="shared" si="0"/>
        <v>2.496</v>
      </c>
      <c r="G43" s="437"/>
    </row>
    <row r="44" spans="1:7" x14ac:dyDescent="0.15">
      <c r="A44" s="437" t="s">
        <v>798</v>
      </c>
      <c r="B44" s="437">
        <v>1</v>
      </c>
      <c r="C44" s="437">
        <v>2</v>
      </c>
      <c r="D44" s="437">
        <v>1.248</v>
      </c>
      <c r="E44" s="437">
        <f t="shared" si="1"/>
        <v>2.496</v>
      </c>
      <c r="F44" s="437">
        <f t="shared" si="0"/>
        <v>2.496</v>
      </c>
      <c r="G44" s="437"/>
    </row>
    <row r="45" spans="1:7" x14ac:dyDescent="0.15">
      <c r="A45" s="437" t="s">
        <v>798</v>
      </c>
      <c r="B45" s="437">
        <v>1</v>
      </c>
      <c r="C45" s="437">
        <v>2</v>
      </c>
      <c r="D45" s="437">
        <v>1.248</v>
      </c>
      <c r="E45" s="437">
        <f t="shared" si="1"/>
        <v>2.496</v>
      </c>
      <c r="F45" s="437">
        <f t="shared" si="0"/>
        <v>2.496</v>
      </c>
      <c r="G45" s="437"/>
    </row>
    <row r="46" spans="1:7" x14ac:dyDescent="0.15">
      <c r="A46" s="437" t="s">
        <v>799</v>
      </c>
      <c r="B46" s="437">
        <v>1</v>
      </c>
      <c r="C46" s="437">
        <v>1.5109999999999999</v>
      </c>
      <c r="D46" s="437">
        <v>0.95099999999999996</v>
      </c>
      <c r="E46" s="437">
        <f t="shared" si="1"/>
        <v>1.4369609999999999</v>
      </c>
      <c r="F46" s="437">
        <f t="shared" si="0"/>
        <v>1.4369609999999999</v>
      </c>
      <c r="G46" s="437"/>
    </row>
    <row r="47" spans="1:7" x14ac:dyDescent="0.15">
      <c r="A47" s="437" t="s">
        <v>800</v>
      </c>
      <c r="B47" s="437">
        <v>1</v>
      </c>
      <c r="C47" s="437">
        <v>0.53300000000000003</v>
      </c>
      <c r="D47" s="437">
        <v>0.65400000000000003</v>
      </c>
      <c r="E47" s="437">
        <f t="shared" si="1"/>
        <v>0.34858200000000006</v>
      </c>
      <c r="F47" s="437">
        <v>0</v>
      </c>
      <c r="G47" s="437">
        <f>+E47</f>
        <v>0.34858200000000006</v>
      </c>
    </row>
    <row r="48" spans="1:7" x14ac:dyDescent="0.15">
      <c r="A48" s="437" t="s">
        <v>800</v>
      </c>
      <c r="B48" s="437">
        <v>1</v>
      </c>
      <c r="C48" s="437">
        <v>0.53300000000000003</v>
      </c>
      <c r="D48" s="437">
        <v>0.65400000000000003</v>
      </c>
      <c r="E48" s="437">
        <f t="shared" si="1"/>
        <v>0.34858200000000006</v>
      </c>
      <c r="F48" s="437">
        <v>0</v>
      </c>
      <c r="G48" s="437">
        <f>+E48</f>
        <v>0.34858200000000006</v>
      </c>
    </row>
    <row r="49" spans="1:7" x14ac:dyDescent="0.15">
      <c r="A49" s="437" t="s">
        <v>800</v>
      </c>
      <c r="B49" s="437">
        <v>1</v>
      </c>
      <c r="C49" s="437">
        <v>0.53300000000000003</v>
      </c>
      <c r="D49" s="437">
        <v>0.65400000000000003</v>
      </c>
      <c r="E49" s="437">
        <f t="shared" si="1"/>
        <v>0.34858200000000006</v>
      </c>
      <c r="F49" s="437">
        <v>0</v>
      </c>
      <c r="G49" s="437">
        <f>+E49</f>
        <v>0.34858200000000006</v>
      </c>
    </row>
    <row r="50" spans="1:7" x14ac:dyDescent="0.15">
      <c r="A50" s="437" t="s">
        <v>800</v>
      </c>
      <c r="B50" s="437">
        <v>1</v>
      </c>
      <c r="C50" s="437">
        <v>0.53300000000000003</v>
      </c>
      <c r="D50" s="437">
        <v>0.65400000000000003</v>
      </c>
      <c r="E50" s="437">
        <f t="shared" si="1"/>
        <v>0.34858200000000006</v>
      </c>
      <c r="F50" s="437">
        <v>0</v>
      </c>
      <c r="G50" s="437">
        <f>+E50</f>
        <v>0.34858200000000006</v>
      </c>
    </row>
    <row r="51" spans="1:7" x14ac:dyDescent="0.15">
      <c r="A51" s="437" t="s">
        <v>801</v>
      </c>
      <c r="B51" s="437">
        <v>1</v>
      </c>
      <c r="C51" s="437">
        <v>1.022</v>
      </c>
      <c r="D51" s="437">
        <v>1.248</v>
      </c>
      <c r="E51" s="437">
        <f t="shared" si="1"/>
        <v>1.2754559999999999</v>
      </c>
      <c r="F51" s="437">
        <f t="shared" si="0"/>
        <v>1.2754559999999999</v>
      </c>
      <c r="G51" s="437"/>
    </row>
    <row r="52" spans="1:7" x14ac:dyDescent="0.15">
      <c r="A52" s="437" t="s">
        <v>802</v>
      </c>
      <c r="B52" s="437">
        <v>6</v>
      </c>
      <c r="C52" s="437">
        <v>0.50800000000000001</v>
      </c>
      <c r="D52" s="437">
        <v>2.1</v>
      </c>
      <c r="E52" s="437">
        <f t="shared" si="1"/>
        <v>6.4008000000000003</v>
      </c>
      <c r="F52" s="437">
        <f t="shared" si="0"/>
        <v>6.4008000000000003</v>
      </c>
      <c r="G52" s="437"/>
    </row>
    <row r="53" spans="1:7" x14ac:dyDescent="0.15">
      <c r="A53" s="437"/>
      <c r="B53" s="437"/>
      <c r="C53" s="437"/>
      <c r="D53" s="437"/>
      <c r="E53" s="437"/>
      <c r="F53" s="437"/>
      <c r="G53" s="437"/>
    </row>
    <row r="54" spans="1:7" x14ac:dyDescent="0.15">
      <c r="A54" s="437"/>
      <c r="B54" s="437"/>
      <c r="C54" s="437"/>
      <c r="D54" s="437"/>
      <c r="E54" s="437"/>
      <c r="F54" s="437"/>
      <c r="G54" s="437"/>
    </row>
    <row r="55" spans="1:7" x14ac:dyDescent="0.15">
      <c r="A55" s="437"/>
      <c r="B55" s="437"/>
      <c r="C55" s="437"/>
      <c r="D55" s="437"/>
      <c r="E55" s="437"/>
      <c r="F55" s="437"/>
      <c r="G55" s="437"/>
    </row>
    <row r="56" spans="1:7" x14ac:dyDescent="0.15">
      <c r="A56" s="437"/>
      <c r="B56" s="437"/>
      <c r="C56" s="437"/>
      <c r="D56" s="437"/>
      <c r="E56" s="437"/>
      <c r="F56" s="437"/>
      <c r="G56" s="437"/>
    </row>
    <row r="57" spans="1:7" x14ac:dyDescent="0.15">
      <c r="A57" s="437"/>
      <c r="B57" s="437"/>
      <c r="C57" s="437"/>
      <c r="D57" s="437"/>
      <c r="E57" s="437"/>
      <c r="F57" s="437"/>
      <c r="G57" s="437"/>
    </row>
    <row r="58" spans="1:7" x14ac:dyDescent="0.15">
      <c r="A58" s="437"/>
      <c r="B58" s="437"/>
      <c r="C58" s="437"/>
      <c r="D58" s="437"/>
      <c r="E58" s="437"/>
      <c r="F58" s="437"/>
      <c r="G58" s="437"/>
    </row>
    <row r="59" spans="1:7" x14ac:dyDescent="0.15">
      <c r="A59" s="437"/>
      <c r="B59" s="437"/>
      <c r="C59" s="437"/>
      <c r="D59" s="437"/>
      <c r="E59" s="437"/>
      <c r="F59" s="437"/>
      <c r="G59" s="437"/>
    </row>
    <row r="60" spans="1:7" x14ac:dyDescent="0.15">
      <c r="A60" s="437"/>
      <c r="B60" s="437"/>
      <c r="C60" s="437"/>
      <c r="D60" s="437"/>
      <c r="E60" s="437"/>
      <c r="F60" s="437"/>
      <c r="G60" s="437"/>
    </row>
    <row r="61" spans="1:7" x14ac:dyDescent="0.15">
      <c r="A61" s="437"/>
      <c r="B61" s="437"/>
      <c r="C61" s="437"/>
      <c r="D61" s="437"/>
      <c r="E61" s="437"/>
      <c r="F61" s="437"/>
      <c r="G61" s="437"/>
    </row>
    <row r="62" spans="1:7" x14ac:dyDescent="0.15">
      <c r="A62" s="437"/>
      <c r="B62" s="437"/>
      <c r="C62" s="437"/>
      <c r="D62" s="437"/>
      <c r="E62" s="437"/>
      <c r="F62" s="437"/>
      <c r="G62" s="437"/>
    </row>
    <row r="63" spans="1:7" x14ac:dyDescent="0.15">
      <c r="A63" s="437"/>
      <c r="B63" s="437"/>
      <c r="C63" s="437"/>
      <c r="D63" s="437"/>
      <c r="E63" s="437"/>
      <c r="F63" s="437"/>
      <c r="G63" s="437"/>
    </row>
    <row r="64" spans="1:7" x14ac:dyDescent="0.15">
      <c r="A64" s="437"/>
      <c r="B64" s="437"/>
      <c r="C64" s="437"/>
      <c r="D64" s="437"/>
      <c r="E64" s="437"/>
      <c r="F64" s="437"/>
      <c r="G64" s="437"/>
    </row>
    <row r="65" spans="1:13" x14ac:dyDescent="0.15">
      <c r="A65" s="437"/>
      <c r="B65" s="437"/>
      <c r="C65" s="437"/>
      <c r="D65" s="437"/>
      <c r="E65" s="437"/>
      <c r="F65" s="437"/>
      <c r="G65" s="437"/>
    </row>
    <row r="66" spans="1:13" x14ac:dyDescent="0.15">
      <c r="A66" s="437"/>
      <c r="B66" s="437"/>
      <c r="C66" s="437"/>
      <c r="D66" s="437"/>
      <c r="E66" s="437"/>
      <c r="F66" s="437"/>
      <c r="G66" s="437"/>
    </row>
    <row r="67" spans="1:13" x14ac:dyDescent="0.15">
      <c r="A67" s="437"/>
      <c r="B67" s="437"/>
      <c r="C67" s="437"/>
      <c r="D67" s="437"/>
      <c r="E67" s="437"/>
      <c r="F67" s="437"/>
      <c r="G67" s="437"/>
    </row>
    <row r="68" spans="1:13" x14ac:dyDescent="0.15">
      <c r="A68" s="437"/>
      <c r="B68" s="437"/>
      <c r="C68" s="437"/>
      <c r="D68" s="437"/>
      <c r="E68" s="437"/>
      <c r="F68" s="437"/>
      <c r="G68" s="437"/>
    </row>
    <row r="69" spans="1:13" x14ac:dyDescent="0.15">
      <c r="A69" s="437"/>
      <c r="B69" s="437"/>
      <c r="C69" s="437"/>
      <c r="D69" s="437"/>
      <c r="E69" s="437"/>
      <c r="F69" s="437"/>
      <c r="G69" s="437"/>
    </row>
    <row r="70" spans="1:13" x14ac:dyDescent="0.15">
      <c r="A70" s="437"/>
      <c r="B70" s="437"/>
      <c r="C70" s="437"/>
      <c r="D70" s="437"/>
      <c r="E70" s="437"/>
      <c r="F70" s="437"/>
      <c r="G70" s="437"/>
    </row>
    <row r="71" spans="1:13" x14ac:dyDescent="0.15">
      <c r="A71" s="439" t="s">
        <v>59</v>
      </c>
      <c r="B71" s="439"/>
      <c r="C71" s="439">
        <f>SUM(C39:C70)</f>
        <v>15.216999999999999</v>
      </c>
      <c r="D71" s="439">
        <f>SUM(D39:D70)</f>
        <v>13.215</v>
      </c>
      <c r="E71" s="439">
        <f>SUM(E39:E70)</f>
        <v>21.828321000000003</v>
      </c>
      <c r="F71" s="439">
        <f>SUM(F39:F70)</f>
        <v>20.433993000000001</v>
      </c>
      <c r="G71" s="439">
        <f>SUM(G39:G70)</f>
        <v>1.3943280000000002</v>
      </c>
      <c r="H71" s="440"/>
      <c r="I71" s="440"/>
      <c r="J71" s="440"/>
      <c r="K71" s="440"/>
      <c r="L71" s="440"/>
      <c r="M71" s="440"/>
    </row>
  </sheetData>
  <mergeCells count="6">
    <mergeCell ref="I3:L3"/>
    <mergeCell ref="A3:A4"/>
    <mergeCell ref="C3:C4"/>
    <mergeCell ref="D3:D4"/>
    <mergeCell ref="E3:E4"/>
    <mergeCell ref="F3:F4"/>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1"/>
  <sheetViews>
    <sheetView view="pageBreakPreview" zoomScale="106" zoomScaleNormal="100" zoomScaleSheetLayoutView="106" workbookViewId="0">
      <selection activeCell="D15" sqref="D15"/>
    </sheetView>
  </sheetViews>
  <sheetFormatPr defaultRowHeight="12.75" x14ac:dyDescent="0.15"/>
  <cols>
    <col min="1" max="1" width="1.34765625" customWidth="1"/>
    <col min="2" max="2" width="20.2265625" customWidth="1"/>
    <col min="3" max="3" width="26.8359375" customWidth="1"/>
    <col min="4" max="4" width="10.11328125" customWidth="1"/>
    <col min="5" max="5" width="5.93359375" customWidth="1"/>
    <col min="6" max="6" width="8.08984375" customWidth="1"/>
    <col min="7" max="7" width="24.00390625" style="292" bestFit="1" customWidth="1"/>
    <col min="8" max="8" width="0.40234375" style="292" customWidth="1"/>
    <col min="9" max="9" width="1.34765625" customWidth="1"/>
  </cols>
  <sheetData>
    <row r="1" spans="1:9" ht="6.75" customHeight="1" x14ac:dyDescent="0.15">
      <c r="A1" s="122"/>
      <c r="B1" s="122"/>
      <c r="C1" s="122"/>
      <c r="D1" s="122"/>
      <c r="E1" s="122"/>
      <c r="F1" s="122"/>
      <c r="G1" s="235"/>
      <c r="H1" s="235"/>
      <c r="I1" s="122"/>
    </row>
    <row r="2" spans="1:9" ht="31.5" x14ac:dyDescent="0.35">
      <c r="A2" s="236"/>
      <c r="B2" s="237" t="s">
        <v>860</v>
      </c>
      <c r="C2" s="238"/>
      <c r="D2" s="238"/>
      <c r="E2" s="238"/>
      <c r="F2" s="238"/>
      <c r="G2" s="239"/>
      <c r="H2" s="239"/>
      <c r="I2" s="240"/>
    </row>
    <row r="3" spans="1:9" ht="14.25" x14ac:dyDescent="0.15">
      <c r="A3" s="236"/>
      <c r="B3" s="241" t="s">
        <v>861</v>
      </c>
      <c r="C3" s="238"/>
      <c r="D3" s="238"/>
      <c r="E3" s="238"/>
      <c r="F3" s="238"/>
      <c r="G3" s="239"/>
      <c r="H3" s="239"/>
      <c r="I3" s="240"/>
    </row>
    <row r="4" spans="1:9" ht="14.25" x14ac:dyDescent="0.15">
      <c r="A4" s="236"/>
      <c r="B4" s="241" t="s">
        <v>862</v>
      </c>
      <c r="C4" s="238"/>
      <c r="D4" s="238"/>
      <c r="E4" s="238"/>
      <c r="F4" s="238"/>
      <c r="G4" s="239"/>
      <c r="H4" s="239"/>
      <c r="I4" s="240"/>
    </row>
    <row r="5" spans="1:9" ht="14.25" x14ac:dyDescent="0.15">
      <c r="A5" s="236"/>
      <c r="B5" s="238"/>
      <c r="C5" s="238"/>
      <c r="D5" s="238"/>
      <c r="E5" s="238"/>
      <c r="F5" s="238"/>
      <c r="G5" s="239"/>
      <c r="H5" s="239"/>
      <c r="I5" s="240"/>
    </row>
    <row r="6" spans="1:9" ht="14.25" x14ac:dyDescent="0.15">
      <c r="A6" s="236"/>
      <c r="B6" s="242" t="s">
        <v>864</v>
      </c>
      <c r="C6" s="242"/>
      <c r="D6" s="243"/>
      <c r="E6" s="243"/>
      <c r="F6" s="244" t="s">
        <v>612</v>
      </c>
      <c r="G6" s="245" t="s">
        <v>863</v>
      </c>
      <c r="H6" s="245"/>
      <c r="I6" s="240"/>
    </row>
    <row r="7" spans="1:9" ht="14.25" x14ac:dyDescent="0.15">
      <c r="A7" s="236"/>
      <c r="B7" s="243"/>
      <c r="C7" s="243"/>
      <c r="D7" s="243"/>
      <c r="E7" s="243"/>
      <c r="F7" s="244"/>
      <c r="G7" s="245"/>
      <c r="H7" s="245"/>
      <c r="I7" s="240"/>
    </row>
    <row r="8" spans="1:9" ht="14.25" x14ac:dyDescent="0.15">
      <c r="A8" s="236"/>
      <c r="B8" s="246"/>
      <c r="C8" s="246"/>
      <c r="D8" s="246"/>
      <c r="E8" s="246"/>
      <c r="F8" s="246"/>
      <c r="G8" s="247"/>
      <c r="H8" s="247"/>
      <c r="I8" s="236"/>
    </row>
    <row r="9" spans="1:9" ht="14.25" x14ac:dyDescent="0.15">
      <c r="A9" s="236"/>
      <c r="B9" s="248" t="s">
        <v>865</v>
      </c>
      <c r="C9" s="248"/>
      <c r="D9" s="249" t="s">
        <v>613</v>
      </c>
      <c r="E9" s="250"/>
      <c r="F9" s="250"/>
      <c r="G9" s="247"/>
      <c r="H9" s="247"/>
      <c r="I9" s="236"/>
    </row>
    <row r="10" spans="1:9" ht="14.25" x14ac:dyDescent="0.15">
      <c r="A10" s="236"/>
      <c r="B10" s="248"/>
      <c r="C10" s="248"/>
      <c r="D10" s="251"/>
      <c r="E10" s="250"/>
      <c r="F10" s="250"/>
      <c r="G10" s="247"/>
      <c r="H10" s="247"/>
      <c r="I10" s="236"/>
    </row>
    <row r="11" spans="1:9" ht="14.25" x14ac:dyDescent="0.15">
      <c r="A11" s="236"/>
      <c r="B11" s="248"/>
      <c r="C11" s="248"/>
      <c r="D11" s="249"/>
      <c r="E11" s="250"/>
      <c r="F11" s="250"/>
      <c r="G11" s="247"/>
      <c r="H11" s="247"/>
      <c r="I11" s="236"/>
    </row>
    <row r="12" spans="1:9" ht="14.25" x14ac:dyDescent="0.15">
      <c r="A12" s="236"/>
      <c r="B12" s="248" t="s">
        <v>866</v>
      </c>
      <c r="C12" s="248"/>
      <c r="D12" s="249" t="s">
        <v>867</v>
      </c>
      <c r="E12" s="250"/>
      <c r="F12" s="250"/>
      <c r="G12" s="247"/>
      <c r="H12" s="247"/>
      <c r="I12" s="236"/>
    </row>
    <row r="13" spans="1:9" ht="14.25" x14ac:dyDescent="0.15">
      <c r="A13" s="236"/>
      <c r="B13" s="248"/>
      <c r="C13" s="248"/>
      <c r="D13" s="249"/>
      <c r="E13" s="250"/>
      <c r="F13" s="250"/>
      <c r="G13" s="247"/>
      <c r="H13" s="247"/>
      <c r="I13" s="236"/>
    </row>
    <row r="14" spans="1:9" ht="14.25" x14ac:dyDescent="0.15">
      <c r="A14" s="236"/>
      <c r="B14" s="248" t="s">
        <v>614</v>
      </c>
      <c r="C14" s="248"/>
      <c r="D14" s="249" t="s">
        <v>701</v>
      </c>
      <c r="E14" s="250"/>
      <c r="F14" s="250"/>
      <c r="G14" s="247"/>
      <c r="H14" s="247"/>
      <c r="I14" s="236"/>
    </row>
    <row r="15" spans="1:9" ht="14.25" x14ac:dyDescent="0.15">
      <c r="A15" s="236"/>
      <c r="B15" s="248"/>
      <c r="C15" s="248"/>
      <c r="D15" s="252"/>
      <c r="E15" s="253"/>
      <c r="F15" s="253"/>
      <c r="G15" s="254"/>
      <c r="H15" s="254"/>
      <c r="I15" s="236"/>
    </row>
    <row r="16" spans="1:9" ht="14.25" x14ac:dyDescent="0.15">
      <c r="A16" s="236"/>
      <c r="B16" s="248" t="s">
        <v>615</v>
      </c>
      <c r="C16" s="248"/>
      <c r="D16" s="255" t="s">
        <v>616</v>
      </c>
      <c r="E16" s="256">
        <v>1</v>
      </c>
      <c r="F16" s="253"/>
      <c r="G16" s="254"/>
      <c r="H16" s="254"/>
      <c r="I16" s="236"/>
    </row>
    <row r="17" spans="1:9" ht="14.25" x14ac:dyDescent="0.15">
      <c r="A17" s="257"/>
      <c r="B17" s="258"/>
      <c r="C17" s="258"/>
      <c r="D17" s="259"/>
      <c r="E17" s="258"/>
      <c r="F17" s="258"/>
      <c r="G17" s="260"/>
      <c r="H17" s="260"/>
      <c r="I17" s="257"/>
    </row>
    <row r="18" spans="1:9" ht="14.25" x14ac:dyDescent="0.15">
      <c r="A18" s="236"/>
      <c r="B18" s="261" t="s">
        <v>617</v>
      </c>
      <c r="C18" s="246"/>
      <c r="D18" s="246"/>
      <c r="E18" s="246"/>
      <c r="F18" s="246"/>
      <c r="G18" s="247">
        <v>540</v>
      </c>
      <c r="H18" s="247"/>
      <c r="I18" s="236"/>
    </row>
    <row r="19" spans="1:9" ht="14.25" x14ac:dyDescent="0.15">
      <c r="A19" s="236"/>
      <c r="B19" s="246"/>
      <c r="C19" s="246"/>
      <c r="D19" s="246"/>
      <c r="E19" s="246"/>
      <c r="F19" s="246"/>
      <c r="G19" s="247"/>
      <c r="H19" s="247"/>
      <c r="I19" s="236"/>
    </row>
    <row r="20" spans="1:9" ht="14.25" x14ac:dyDescent="0.15">
      <c r="A20" s="122"/>
      <c r="B20" s="261" t="s">
        <v>618</v>
      </c>
      <c r="C20" s="259"/>
      <c r="D20" s="243"/>
      <c r="E20" s="246"/>
      <c r="F20" s="246"/>
      <c r="G20" s="262"/>
      <c r="H20" s="262"/>
      <c r="I20" s="236"/>
    </row>
    <row r="21" spans="1:9" ht="14.25" x14ac:dyDescent="0.15">
      <c r="A21" s="122"/>
      <c r="B21" s="246" t="s">
        <v>868</v>
      </c>
      <c r="C21" s="259"/>
      <c r="D21" s="243"/>
      <c r="E21" s="246"/>
      <c r="F21" s="246"/>
      <c r="G21" s="262">
        <v>28948.959999999999</v>
      </c>
      <c r="H21" s="262"/>
      <c r="I21" s="236"/>
    </row>
    <row r="22" spans="1:9" ht="14.25" x14ac:dyDescent="0.15">
      <c r="A22" s="236"/>
      <c r="B22" s="246" t="s">
        <v>869</v>
      </c>
      <c r="C22" s="246"/>
      <c r="D22" s="246"/>
      <c r="E22" s="246"/>
      <c r="F22" s="246"/>
      <c r="G22" s="247">
        <v>1930.23</v>
      </c>
      <c r="H22" s="247"/>
      <c r="I22" s="236"/>
    </row>
    <row r="23" spans="1:9" ht="14.25" x14ac:dyDescent="0.15">
      <c r="A23" s="236"/>
      <c r="B23" s="246" t="s">
        <v>870</v>
      </c>
      <c r="C23" s="246"/>
      <c r="D23" s="246"/>
      <c r="E23" s="246"/>
      <c r="F23" s="246"/>
      <c r="G23" s="247"/>
      <c r="H23" s="247"/>
      <c r="I23" s="236"/>
    </row>
    <row r="24" spans="1:9" ht="14.25" x14ac:dyDescent="0.15">
      <c r="A24" s="122"/>
      <c r="B24" s="246" t="s">
        <v>871</v>
      </c>
      <c r="C24" s="259"/>
      <c r="D24" s="243"/>
      <c r="E24" s="246"/>
      <c r="F24" s="246"/>
      <c r="G24" s="263">
        <v>539.11</v>
      </c>
      <c r="H24" s="262"/>
      <c r="I24" s="236"/>
    </row>
    <row r="25" spans="1:9" ht="14.25" x14ac:dyDescent="0.15">
      <c r="A25" s="122"/>
      <c r="B25" s="246" t="s">
        <v>30</v>
      </c>
      <c r="C25" s="259"/>
      <c r="D25" s="243"/>
      <c r="E25" s="246"/>
      <c r="F25" s="246"/>
      <c r="G25" s="264">
        <f>SUM(G18:G22)</f>
        <v>31419.19</v>
      </c>
      <c r="H25" s="264"/>
      <c r="I25" s="236"/>
    </row>
    <row r="26" spans="1:9" ht="14.25" x14ac:dyDescent="0.15">
      <c r="A26" s="122"/>
      <c r="B26" s="246"/>
      <c r="C26" s="259"/>
      <c r="D26" s="243"/>
      <c r="E26" s="246"/>
      <c r="F26" s="246"/>
      <c r="G26" s="262"/>
      <c r="H26" s="262"/>
      <c r="I26" s="236"/>
    </row>
    <row r="27" spans="1:9" ht="14.25" x14ac:dyDescent="0.15">
      <c r="A27" s="122"/>
      <c r="B27" s="246" t="s">
        <v>619</v>
      </c>
      <c r="C27" s="259"/>
      <c r="D27" s="243"/>
      <c r="E27" s="246"/>
      <c r="F27" s="246"/>
      <c r="G27" s="262">
        <v>0</v>
      </c>
      <c r="H27" s="262"/>
      <c r="I27" s="236"/>
    </row>
    <row r="28" spans="1:9" ht="14.25" x14ac:dyDescent="0.15">
      <c r="A28" s="122"/>
      <c r="B28" s="246"/>
      <c r="C28" s="259"/>
      <c r="D28" s="243"/>
      <c r="E28" s="246"/>
      <c r="F28" s="246"/>
      <c r="G28" s="263"/>
      <c r="H28" s="262"/>
      <c r="I28" s="236"/>
    </row>
    <row r="29" spans="1:9" ht="14.25" x14ac:dyDescent="0.15">
      <c r="A29" s="122"/>
      <c r="B29" s="246"/>
      <c r="C29" s="259"/>
      <c r="D29" s="243"/>
      <c r="E29" s="246"/>
      <c r="F29" s="246"/>
      <c r="G29" s="262"/>
      <c r="H29" s="262"/>
      <c r="I29" s="236"/>
    </row>
    <row r="30" spans="1:9" ht="14.25" x14ac:dyDescent="0.15">
      <c r="A30" s="122"/>
      <c r="B30" s="246"/>
      <c r="C30" s="259"/>
      <c r="D30" s="243"/>
      <c r="E30" s="246"/>
      <c r="F30" s="246"/>
      <c r="G30" s="264">
        <f>G25-G27</f>
        <v>31419.19</v>
      </c>
      <c r="H30" s="264"/>
      <c r="I30" s="236"/>
    </row>
    <row r="31" spans="1:9" ht="14.25" x14ac:dyDescent="0.15">
      <c r="A31" s="122"/>
      <c r="B31" s="246"/>
      <c r="C31" s="259"/>
      <c r="D31" s="243"/>
      <c r="E31" s="246"/>
      <c r="F31" s="246"/>
      <c r="G31" s="262"/>
      <c r="H31" s="262"/>
      <c r="I31" s="236"/>
    </row>
    <row r="32" spans="1:9" ht="14.25" x14ac:dyDescent="0.15">
      <c r="A32" s="122"/>
      <c r="B32" s="261" t="s">
        <v>620</v>
      </c>
      <c r="C32" s="259"/>
      <c r="D32" s="246"/>
      <c r="E32" s="246"/>
      <c r="F32" s="246"/>
      <c r="G32" s="262">
        <v>0</v>
      </c>
      <c r="H32" s="262"/>
      <c r="I32" s="236"/>
    </row>
    <row r="33" spans="1:9" ht="14.25" x14ac:dyDescent="0.15">
      <c r="A33" s="122"/>
      <c r="B33" s="261"/>
      <c r="C33" s="259"/>
      <c r="D33" s="246"/>
      <c r="E33" s="246"/>
      <c r="F33" s="246"/>
      <c r="G33" s="262"/>
      <c r="H33" s="262"/>
      <c r="I33" s="236"/>
    </row>
    <row r="34" spans="1:9" ht="14.25" x14ac:dyDescent="0.15">
      <c r="A34" s="122"/>
      <c r="B34" s="261" t="s">
        <v>621</v>
      </c>
      <c r="C34" s="259"/>
      <c r="D34" s="246"/>
      <c r="E34" s="246"/>
      <c r="F34" s="246"/>
      <c r="G34" s="260">
        <v>0</v>
      </c>
      <c r="H34" s="260"/>
      <c r="I34" s="236"/>
    </row>
    <row r="35" spans="1:9" ht="14.25" x14ac:dyDescent="0.15">
      <c r="A35" s="122"/>
      <c r="B35" s="265"/>
      <c r="C35" s="259"/>
      <c r="D35" s="246"/>
      <c r="E35" s="246"/>
      <c r="F35" s="246"/>
      <c r="G35" s="260"/>
      <c r="H35" s="260"/>
      <c r="I35" s="236"/>
    </row>
    <row r="36" spans="1:9" ht="14.25" x14ac:dyDescent="0.15">
      <c r="A36" s="122"/>
      <c r="B36" s="261" t="s">
        <v>622</v>
      </c>
      <c r="C36" s="246"/>
      <c r="D36" s="246"/>
      <c r="E36" s="246"/>
      <c r="F36" s="246"/>
      <c r="G36" s="266">
        <v>0</v>
      </c>
      <c r="H36" s="260"/>
      <c r="I36" s="236"/>
    </row>
    <row r="37" spans="1:9" ht="14.25" x14ac:dyDescent="0.15">
      <c r="A37" s="122"/>
      <c r="B37" s="261"/>
      <c r="C37" s="246"/>
      <c r="D37" s="246"/>
      <c r="E37" s="246"/>
      <c r="F37" s="246"/>
      <c r="G37" s="260"/>
      <c r="H37" s="260"/>
      <c r="I37" s="236"/>
    </row>
    <row r="38" spans="1:9" ht="14.25" x14ac:dyDescent="0.15">
      <c r="A38" s="122"/>
      <c r="B38" s="261" t="s">
        <v>623</v>
      </c>
      <c r="C38" s="246"/>
      <c r="D38" s="246"/>
      <c r="E38" s="246"/>
      <c r="F38" s="246"/>
      <c r="G38" s="267">
        <f>SUM(G30:G36)</f>
        <v>31419.19</v>
      </c>
      <c r="H38" s="267"/>
      <c r="I38" s="236"/>
    </row>
    <row r="39" spans="1:9" ht="14.25" x14ac:dyDescent="0.15">
      <c r="A39" s="122"/>
      <c r="B39" s="246"/>
      <c r="C39" s="246"/>
      <c r="D39" s="246"/>
      <c r="E39" s="246"/>
      <c r="F39" s="246"/>
      <c r="G39" s="247"/>
      <c r="H39" s="247"/>
      <c r="I39" s="236"/>
    </row>
    <row r="40" spans="1:9" ht="14.25" x14ac:dyDescent="0.15">
      <c r="A40" s="122"/>
      <c r="B40" s="261" t="s">
        <v>624</v>
      </c>
      <c r="C40" s="246"/>
      <c r="D40" s="268"/>
      <c r="E40" s="269"/>
      <c r="F40" s="270"/>
      <c r="G40" s="271">
        <v>0</v>
      </c>
      <c r="H40" s="247"/>
      <c r="I40" s="236"/>
    </row>
    <row r="41" spans="1:9" ht="18.75" x14ac:dyDescent="0.45">
      <c r="A41" s="122"/>
      <c r="B41" s="272"/>
      <c r="C41" s="246"/>
      <c r="D41" s="268"/>
      <c r="E41" s="269"/>
      <c r="F41" s="270"/>
      <c r="G41" s="247">
        <f>SUM(G38-G40)</f>
        <v>31419.19</v>
      </c>
      <c r="H41" s="247"/>
      <c r="I41" s="236"/>
    </row>
    <row r="42" spans="1:9" ht="18.75" x14ac:dyDescent="0.45">
      <c r="A42" s="122"/>
      <c r="B42" s="272"/>
      <c r="C42" s="246"/>
      <c r="D42" s="268"/>
      <c r="E42" s="269"/>
      <c r="F42" s="270"/>
      <c r="G42" s="247"/>
      <c r="H42" s="247"/>
      <c r="I42" s="236"/>
    </row>
    <row r="43" spans="1:9" ht="14.25" x14ac:dyDescent="0.15">
      <c r="A43" s="122"/>
      <c r="B43" s="261" t="s">
        <v>625</v>
      </c>
      <c r="C43" s="246"/>
      <c r="D43" s="268"/>
      <c r="E43" s="269"/>
      <c r="F43" s="270"/>
      <c r="G43" s="247">
        <f>G41*10%</f>
        <v>3141.9189999999999</v>
      </c>
      <c r="H43" s="247"/>
      <c r="I43" s="236"/>
    </row>
    <row r="44" spans="1:9" ht="18.75" x14ac:dyDescent="0.45">
      <c r="A44" s="122"/>
      <c r="B44" s="272"/>
      <c r="C44" s="246"/>
      <c r="D44" s="268"/>
      <c r="E44" s="269"/>
      <c r="F44" s="270"/>
      <c r="G44" s="271"/>
      <c r="H44" s="247"/>
      <c r="I44" s="236"/>
    </row>
    <row r="45" spans="1:9" ht="18.75" x14ac:dyDescent="0.45">
      <c r="A45" s="122"/>
      <c r="B45" s="272"/>
      <c r="C45" s="246"/>
      <c r="D45" s="268"/>
      <c r="E45" s="269"/>
      <c r="F45" s="270"/>
      <c r="G45" s="247"/>
      <c r="H45" s="247"/>
      <c r="I45" s="236"/>
    </row>
    <row r="46" spans="1:9" ht="16.5" x14ac:dyDescent="0.3">
      <c r="A46" s="122"/>
      <c r="B46" s="261" t="s">
        <v>626</v>
      </c>
      <c r="C46" s="246"/>
      <c r="D46" s="246"/>
      <c r="E46" s="246"/>
      <c r="F46" s="246"/>
      <c r="G46" s="273">
        <f>G41-G43</f>
        <v>28277.271000000001</v>
      </c>
      <c r="H46" s="273"/>
      <c r="I46" s="236"/>
    </row>
    <row r="47" spans="1:9" ht="14.25" x14ac:dyDescent="0.15">
      <c r="A47" s="122"/>
      <c r="B47" s="246"/>
      <c r="C47" s="246"/>
      <c r="D47" s="274"/>
      <c r="E47" s="275"/>
      <c r="F47" s="246"/>
      <c r="G47" s="247"/>
      <c r="H47" s="247"/>
      <c r="I47" s="236"/>
    </row>
    <row r="48" spans="1:9" ht="14.25" x14ac:dyDescent="0.15">
      <c r="A48" s="276"/>
      <c r="B48" s="277" t="s">
        <v>627</v>
      </c>
      <c r="C48" s="278"/>
      <c r="D48" s="278"/>
      <c r="E48" s="278"/>
      <c r="F48" s="278"/>
      <c r="G48" s="271"/>
      <c r="H48" s="247"/>
      <c r="I48" s="236"/>
    </row>
    <row r="49" spans="1:9" ht="14.25" x14ac:dyDescent="0.15">
      <c r="A49" s="236"/>
      <c r="B49" s="246" t="s">
        <v>628</v>
      </c>
      <c r="C49" s="246"/>
      <c r="D49" s="246" t="s">
        <v>629</v>
      </c>
      <c r="E49" s="246"/>
      <c r="F49" s="246"/>
      <c r="G49" s="279"/>
      <c r="H49" s="279"/>
      <c r="I49" s="236"/>
    </row>
    <row r="50" spans="1:9" ht="14.25" x14ac:dyDescent="0.15">
      <c r="A50" s="236"/>
      <c r="B50" s="246"/>
      <c r="C50" s="246"/>
      <c r="D50" s="246"/>
      <c r="E50" s="246"/>
      <c r="F50" s="246"/>
      <c r="G50" s="247"/>
      <c r="H50" s="247"/>
      <c r="I50" s="236"/>
    </row>
    <row r="51" spans="1:9" ht="14.25" x14ac:dyDescent="0.15">
      <c r="A51" s="236"/>
      <c r="B51" s="246" t="s">
        <v>630</v>
      </c>
      <c r="C51" s="246" t="s">
        <v>631</v>
      </c>
      <c r="D51" s="280" t="s">
        <v>632</v>
      </c>
      <c r="E51" s="281" t="s">
        <v>633</v>
      </c>
      <c r="F51" s="246"/>
      <c r="G51" s="247"/>
      <c r="H51" s="247"/>
      <c r="I51" s="236"/>
    </row>
    <row r="52" spans="1:9" ht="14.25" x14ac:dyDescent="0.15">
      <c r="A52" s="236"/>
      <c r="B52" s="246"/>
      <c r="C52" s="246"/>
      <c r="D52" s="246"/>
      <c r="E52" s="246"/>
      <c r="F52" s="246"/>
      <c r="G52" s="247"/>
      <c r="H52" s="247"/>
      <c r="I52" s="236"/>
    </row>
    <row r="53" spans="1:9" ht="14.25" x14ac:dyDescent="0.15">
      <c r="A53" s="236"/>
      <c r="B53" s="246"/>
      <c r="C53" s="246"/>
      <c r="D53" s="246"/>
      <c r="E53" s="246"/>
      <c r="F53" s="246"/>
      <c r="G53" s="282" t="s">
        <v>634</v>
      </c>
      <c r="H53" s="247"/>
      <c r="I53" s="283"/>
    </row>
    <row r="54" spans="1:9" ht="14.25" x14ac:dyDescent="0.15">
      <c r="A54" s="236"/>
      <c r="B54" s="246" t="s">
        <v>635</v>
      </c>
      <c r="C54" s="246" t="s">
        <v>636</v>
      </c>
      <c r="D54" s="246" t="s">
        <v>637</v>
      </c>
      <c r="E54" s="246"/>
      <c r="F54" s="246"/>
      <c r="G54" s="284" t="s">
        <v>638</v>
      </c>
      <c r="H54" s="247"/>
      <c r="I54" s="236"/>
    </row>
    <row r="55" spans="1:9" ht="14.25" x14ac:dyDescent="0.15">
      <c r="A55" s="236"/>
      <c r="B55" s="246"/>
      <c r="C55" s="246"/>
      <c r="D55" s="246"/>
      <c r="E55" s="246"/>
      <c r="F55" s="246"/>
      <c r="G55" s="284"/>
      <c r="H55" s="247"/>
      <c r="I55" s="236"/>
    </row>
    <row r="56" spans="1:9" ht="14.25" x14ac:dyDescent="0.15">
      <c r="A56" s="236"/>
      <c r="B56" s="246" t="s">
        <v>639</v>
      </c>
      <c r="C56" s="246" t="s">
        <v>636</v>
      </c>
      <c r="D56" s="246" t="s">
        <v>640</v>
      </c>
      <c r="E56" s="246"/>
      <c r="F56" s="246"/>
      <c r="G56" s="285" t="s">
        <v>641</v>
      </c>
      <c r="H56" s="247"/>
      <c r="I56" s="236"/>
    </row>
    <row r="57" spans="1:9" ht="14.25" x14ac:dyDescent="0.15">
      <c r="A57" s="236"/>
      <c r="B57" s="246"/>
      <c r="C57" s="246"/>
      <c r="D57" s="246"/>
      <c r="E57" s="246"/>
      <c r="F57" s="246"/>
      <c r="G57" s="247"/>
      <c r="H57" s="247"/>
      <c r="I57" s="236"/>
    </row>
    <row r="58" spans="1:9" ht="14.25" x14ac:dyDescent="0.15">
      <c r="A58" s="286"/>
      <c r="B58" s="287"/>
      <c r="C58" s="288"/>
      <c r="D58" s="288"/>
      <c r="E58" s="288"/>
      <c r="F58" s="288"/>
      <c r="G58" s="289"/>
      <c r="H58" s="289"/>
      <c r="I58" s="236"/>
    </row>
    <row r="59" spans="1:9" ht="7.5" customHeight="1" x14ac:dyDescent="0.15">
      <c r="A59" s="286"/>
      <c r="B59" s="290"/>
      <c r="C59" s="286"/>
      <c r="D59" s="286"/>
      <c r="E59" s="286"/>
      <c r="F59" s="286"/>
      <c r="G59" s="291"/>
      <c r="H59" s="291"/>
      <c r="I59" s="236"/>
    </row>
    <row r="60" spans="1:9" ht="14.25" x14ac:dyDescent="0.15">
      <c r="A60" s="246"/>
      <c r="B60" s="287"/>
      <c r="C60" s="288"/>
      <c r="D60" s="288"/>
      <c r="E60" s="288"/>
      <c r="F60" s="288"/>
      <c r="G60" s="289"/>
      <c r="H60" s="289"/>
      <c r="I60" s="246"/>
    </row>
    <row r="61" spans="1:9" ht="14.25" x14ac:dyDescent="0.15">
      <c r="B61" s="287"/>
      <c r="C61" s="288"/>
      <c r="D61" s="288"/>
      <c r="E61" s="288"/>
      <c r="F61" s="288"/>
      <c r="G61" s="289"/>
      <c r="H61" s="289"/>
      <c r="I61" s="246"/>
    </row>
    <row r="62" spans="1:9" ht="14.25" x14ac:dyDescent="0.15">
      <c r="B62" s="287"/>
      <c r="C62" s="288"/>
      <c r="D62" s="288"/>
      <c r="E62" s="288"/>
      <c r="F62" s="288"/>
      <c r="G62" s="289"/>
      <c r="H62" s="289"/>
      <c r="I62" s="246"/>
    </row>
    <row r="63" spans="1:9" ht="14.25" x14ac:dyDescent="0.15">
      <c r="B63" s="243"/>
      <c r="C63" s="243"/>
      <c r="D63" s="243"/>
      <c r="E63" s="243"/>
      <c r="F63" s="243"/>
      <c r="G63" s="245"/>
      <c r="H63" s="245"/>
      <c r="I63" s="246"/>
    </row>
    <row r="64" spans="1:9" ht="14.25" x14ac:dyDescent="0.15">
      <c r="A64" s="246"/>
      <c r="B64" s="246"/>
      <c r="C64" s="246"/>
      <c r="D64" s="246"/>
      <c r="E64" s="246"/>
      <c r="F64" s="246"/>
      <c r="G64" s="247"/>
      <c r="H64" s="247"/>
      <c r="I64" s="246"/>
    </row>
    <row r="65" spans="1:9" ht="14.25" x14ac:dyDescent="0.15">
      <c r="A65" s="246"/>
      <c r="B65" s="246"/>
      <c r="C65" s="246"/>
      <c r="D65" s="246"/>
      <c r="E65" s="246"/>
      <c r="F65" s="246"/>
      <c r="G65" s="247"/>
      <c r="H65" s="247"/>
      <c r="I65" s="246"/>
    </row>
    <row r="66" spans="1:9" ht="14.25" x14ac:dyDescent="0.15">
      <c r="A66" s="288"/>
      <c r="B66" s="287"/>
      <c r="C66" s="288"/>
      <c r="D66" s="288"/>
      <c r="E66" s="288"/>
      <c r="F66" s="288"/>
      <c r="G66" s="289"/>
      <c r="H66" s="289"/>
      <c r="I66" s="246"/>
    </row>
    <row r="67" spans="1:9" ht="14.25" x14ac:dyDescent="0.15">
      <c r="A67" s="288"/>
      <c r="B67" s="287"/>
      <c r="C67" s="288"/>
      <c r="D67" s="288"/>
      <c r="E67" s="288"/>
      <c r="F67" s="288"/>
      <c r="G67" s="289"/>
      <c r="H67" s="289"/>
      <c r="I67" s="246"/>
    </row>
    <row r="68" spans="1:9" ht="14.25" x14ac:dyDescent="0.15">
      <c r="A68" s="246"/>
      <c r="B68" s="287"/>
      <c r="C68" s="288"/>
      <c r="D68" s="288"/>
      <c r="E68" s="288"/>
      <c r="F68" s="288"/>
      <c r="G68" s="289"/>
      <c r="H68" s="289"/>
      <c r="I68" s="246"/>
    </row>
    <row r="69" spans="1:9" ht="14.25" x14ac:dyDescent="0.15">
      <c r="B69" s="287"/>
      <c r="C69" s="288"/>
      <c r="D69" s="288"/>
      <c r="E69" s="288"/>
      <c r="F69" s="288"/>
      <c r="G69" s="289"/>
      <c r="H69" s="289"/>
      <c r="I69" s="246"/>
    </row>
    <row r="70" spans="1:9" ht="14.25" x14ac:dyDescent="0.15">
      <c r="B70" s="287"/>
      <c r="C70" s="288"/>
      <c r="D70" s="288"/>
      <c r="E70" s="288"/>
      <c r="F70" s="288"/>
      <c r="G70" s="289"/>
      <c r="H70" s="289"/>
      <c r="I70" s="246"/>
    </row>
    <row r="71" spans="1:9" ht="14.25" x14ac:dyDescent="0.15">
      <c r="B71" s="243"/>
      <c r="C71" s="243"/>
      <c r="D71" s="243"/>
      <c r="E71" s="243"/>
      <c r="F71" s="243"/>
      <c r="G71" s="245"/>
      <c r="H71" s="245"/>
      <c r="I71" s="246"/>
    </row>
  </sheetData>
  <pageMargins left="0.7" right="0.7" top="0.75" bottom="0.75" header="0.3" footer="0.3"/>
  <pageSetup paperSize="9" scale="75"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2"/>
  <sheetViews>
    <sheetView view="pageBreakPreview" zoomScale="89" zoomScaleNormal="100" zoomScaleSheetLayoutView="89" workbookViewId="0">
      <selection activeCell="C50" sqref="C50"/>
    </sheetView>
  </sheetViews>
  <sheetFormatPr defaultRowHeight="16.5" x14ac:dyDescent="0.2"/>
  <cols>
    <col min="1" max="1" width="6.3359375" style="365" customWidth="1"/>
    <col min="2" max="2" width="63.24609375" style="295" customWidth="1"/>
    <col min="3" max="3" width="6.60546875" style="295" customWidth="1"/>
    <col min="4" max="4" width="8.62890625" style="296" customWidth="1"/>
    <col min="5" max="5" width="10.65234375" style="297" customWidth="1"/>
    <col min="6" max="6" width="11.8671875" style="297" customWidth="1"/>
  </cols>
  <sheetData>
    <row r="1" spans="1:6" x14ac:dyDescent="0.2">
      <c r="A1" s="294" t="s">
        <v>710</v>
      </c>
    </row>
    <row r="2" spans="1:6" x14ac:dyDescent="0.2">
      <c r="A2" s="294"/>
    </row>
    <row r="3" spans="1:6" x14ac:dyDescent="0.2">
      <c r="A3" s="294" t="s">
        <v>702</v>
      </c>
    </row>
    <row r="4" spans="1:6" ht="17.25" thickBot="1" x14ac:dyDescent="0.25">
      <c r="A4" s="298"/>
    </row>
    <row r="5" spans="1:6" x14ac:dyDescent="0.2">
      <c r="A5" s="299" t="s">
        <v>644</v>
      </c>
      <c r="B5" s="300" t="s">
        <v>645</v>
      </c>
      <c r="C5" s="301" t="s">
        <v>646</v>
      </c>
      <c r="D5" s="302" t="s">
        <v>647</v>
      </c>
      <c r="E5" s="303" t="s">
        <v>648</v>
      </c>
      <c r="F5" s="304" t="s">
        <v>649</v>
      </c>
    </row>
    <row r="6" spans="1:6" ht="17.25" thickBot="1" x14ac:dyDescent="0.25">
      <c r="A6" s="305" t="s">
        <v>650</v>
      </c>
      <c r="B6" s="306"/>
      <c r="C6" s="307"/>
      <c r="D6" s="308"/>
      <c r="E6" s="309"/>
      <c r="F6" s="310"/>
    </row>
    <row r="7" spans="1:6" x14ac:dyDescent="0.2">
      <c r="A7" s="311"/>
      <c r="B7" s="312"/>
      <c r="C7" s="313"/>
      <c r="D7" s="314"/>
      <c r="E7" s="315"/>
      <c r="F7" s="316"/>
    </row>
    <row r="8" spans="1:6" x14ac:dyDescent="0.2">
      <c r="A8" s="323" t="s">
        <v>703</v>
      </c>
      <c r="B8" s="331" t="s">
        <v>677</v>
      </c>
      <c r="C8" s="342"/>
      <c r="D8" s="325"/>
      <c r="E8" s="326"/>
      <c r="F8" s="327"/>
    </row>
    <row r="9" spans="1:6" x14ac:dyDescent="0.2">
      <c r="A9" s="323"/>
      <c r="B9" s="324"/>
      <c r="C9" s="342"/>
      <c r="D9" s="325"/>
      <c r="E9" s="326"/>
      <c r="F9" s="327"/>
    </row>
    <row r="10" spans="1:6" x14ac:dyDescent="0.2">
      <c r="A10" s="323">
        <v>1</v>
      </c>
      <c r="B10" s="354" t="s">
        <v>712</v>
      </c>
      <c r="C10" s="324" t="s">
        <v>616</v>
      </c>
      <c r="D10" s="325">
        <v>8</v>
      </c>
      <c r="E10" s="326">
        <v>101</v>
      </c>
      <c r="F10" s="327">
        <f t="shared" ref="F10:F15" si="0">D10*E10</f>
        <v>808</v>
      </c>
    </row>
    <row r="11" spans="1:6" x14ac:dyDescent="0.2">
      <c r="A11" s="323">
        <v>2</v>
      </c>
      <c r="B11" s="354" t="s">
        <v>705</v>
      </c>
      <c r="C11" s="324" t="s">
        <v>616</v>
      </c>
      <c r="D11" s="325">
        <v>1</v>
      </c>
      <c r="E11" s="326">
        <v>61</v>
      </c>
      <c r="F11" s="327">
        <f t="shared" si="0"/>
        <v>61</v>
      </c>
    </row>
    <row r="12" spans="1:6" x14ac:dyDescent="0.2">
      <c r="A12" s="323">
        <v>3</v>
      </c>
      <c r="B12" s="354" t="s">
        <v>706</v>
      </c>
      <c r="C12" s="324" t="s">
        <v>616</v>
      </c>
      <c r="D12" s="325">
        <v>2</v>
      </c>
      <c r="E12" s="326">
        <v>57</v>
      </c>
      <c r="F12" s="327">
        <f t="shared" si="0"/>
        <v>114</v>
      </c>
    </row>
    <row r="13" spans="1:6" x14ac:dyDescent="0.2">
      <c r="A13" s="323">
        <v>4</v>
      </c>
      <c r="B13" s="354" t="s">
        <v>707</v>
      </c>
      <c r="C13" s="324" t="s">
        <v>616</v>
      </c>
      <c r="D13" s="325">
        <v>1</v>
      </c>
      <c r="E13" s="326">
        <v>27</v>
      </c>
      <c r="F13" s="327">
        <f t="shared" si="0"/>
        <v>27</v>
      </c>
    </row>
    <row r="14" spans="1:6" x14ac:dyDescent="0.2">
      <c r="A14" s="323">
        <v>5</v>
      </c>
      <c r="B14" s="354" t="s">
        <v>708</v>
      </c>
      <c r="C14" s="324" t="s">
        <v>616</v>
      </c>
      <c r="D14" s="325">
        <v>1</v>
      </c>
      <c r="E14" s="326">
        <v>94</v>
      </c>
      <c r="F14" s="327">
        <f t="shared" si="0"/>
        <v>94</v>
      </c>
    </row>
    <row r="15" spans="1:6" x14ac:dyDescent="0.2">
      <c r="A15" s="323">
        <v>6</v>
      </c>
      <c r="B15" s="354" t="s">
        <v>709</v>
      </c>
      <c r="C15" s="324" t="s">
        <v>616</v>
      </c>
      <c r="D15" s="325">
        <v>2</v>
      </c>
      <c r="E15" s="326">
        <v>62</v>
      </c>
      <c r="F15" s="327">
        <f t="shared" si="0"/>
        <v>124</v>
      </c>
    </row>
    <row r="16" spans="1:6" x14ac:dyDescent="0.2">
      <c r="A16" s="323"/>
      <c r="B16" s="354"/>
      <c r="C16" s="324"/>
      <c r="D16" s="325"/>
      <c r="E16" s="326"/>
      <c r="F16" s="327"/>
    </row>
    <row r="17" spans="1:6" x14ac:dyDescent="0.2">
      <c r="A17" s="323"/>
      <c r="B17" s="343" t="s">
        <v>674</v>
      </c>
      <c r="C17" s="324"/>
      <c r="D17" s="325"/>
      <c r="E17" s="326"/>
      <c r="F17" s="327"/>
    </row>
    <row r="18" spans="1:6" x14ac:dyDescent="0.2">
      <c r="A18" s="323">
        <v>7</v>
      </c>
      <c r="B18" s="342" t="s">
        <v>675</v>
      </c>
      <c r="C18" s="324" t="s">
        <v>658</v>
      </c>
      <c r="D18" s="325">
        <v>7</v>
      </c>
      <c r="E18" s="326">
        <v>40</v>
      </c>
      <c r="F18" s="327">
        <f>D18*E18</f>
        <v>280</v>
      </c>
    </row>
    <row r="19" spans="1:6" x14ac:dyDescent="0.2">
      <c r="A19" s="323">
        <v>8</v>
      </c>
      <c r="B19" s="342" t="s">
        <v>676</v>
      </c>
      <c r="C19" s="324" t="s">
        <v>658</v>
      </c>
      <c r="D19" s="325">
        <v>8</v>
      </c>
      <c r="E19" s="326">
        <v>54</v>
      </c>
      <c r="F19" s="327">
        <f>D19*E19</f>
        <v>432</v>
      </c>
    </row>
    <row r="20" spans="1:6" x14ac:dyDescent="0.2">
      <c r="A20" s="323">
        <v>9</v>
      </c>
      <c r="B20" s="345" t="s">
        <v>711</v>
      </c>
      <c r="C20" s="324" t="s">
        <v>658</v>
      </c>
      <c r="D20" s="347">
        <v>2</v>
      </c>
      <c r="E20" s="348">
        <v>196</v>
      </c>
      <c r="F20" s="327">
        <f>D20*E20</f>
        <v>392</v>
      </c>
    </row>
    <row r="21" spans="1:6" x14ac:dyDescent="0.2">
      <c r="A21" s="323"/>
      <c r="B21" s="345"/>
      <c r="C21" s="324"/>
      <c r="D21" s="347"/>
      <c r="E21" s="348"/>
      <c r="F21" s="327"/>
    </row>
    <row r="22" spans="1:6" x14ac:dyDescent="0.2">
      <c r="A22" s="323"/>
      <c r="B22" s="345"/>
      <c r="C22" s="324"/>
      <c r="D22" s="347"/>
      <c r="E22" s="348"/>
      <c r="F22" s="327"/>
    </row>
    <row r="23" spans="1:6" x14ac:dyDescent="0.2">
      <c r="A23" s="323"/>
      <c r="B23" s="345"/>
      <c r="C23" s="324"/>
      <c r="D23" s="347"/>
      <c r="E23" s="348"/>
      <c r="F23" s="327"/>
    </row>
    <row r="24" spans="1:6" x14ac:dyDescent="0.2">
      <c r="A24" s="355" t="s">
        <v>704</v>
      </c>
      <c r="B24" s="331" t="s">
        <v>678</v>
      </c>
      <c r="C24" s="324"/>
      <c r="D24" s="325"/>
      <c r="E24" s="326"/>
      <c r="F24" s="327"/>
    </row>
    <row r="25" spans="1:6" ht="8.4499999999999993" customHeight="1" x14ac:dyDescent="0.2">
      <c r="A25" s="323"/>
      <c r="B25" s="324"/>
      <c r="C25" s="324"/>
      <c r="D25" s="325"/>
      <c r="E25" s="326"/>
      <c r="F25" s="327"/>
    </row>
    <row r="26" spans="1:6" x14ac:dyDescent="0.2">
      <c r="A26" s="323"/>
      <c r="B26" s="356" t="s">
        <v>679</v>
      </c>
      <c r="C26" s="324"/>
      <c r="D26" s="325"/>
      <c r="E26" s="326"/>
      <c r="F26" s="327"/>
    </row>
    <row r="27" spans="1:6" x14ac:dyDescent="0.2">
      <c r="A27" s="323"/>
      <c r="B27" s="356" t="s">
        <v>680</v>
      </c>
      <c r="C27" s="324"/>
      <c r="D27" s="325"/>
      <c r="E27" s="326"/>
      <c r="F27" s="327"/>
    </row>
    <row r="28" spans="1:6" x14ac:dyDescent="0.2">
      <c r="A28" s="323"/>
      <c r="B28" s="356" t="s">
        <v>681</v>
      </c>
      <c r="C28" s="324"/>
      <c r="D28" s="325"/>
      <c r="E28" s="326"/>
      <c r="F28" s="327"/>
    </row>
    <row r="29" spans="1:6" x14ac:dyDescent="0.2">
      <c r="A29" s="328"/>
      <c r="B29" s="356"/>
      <c r="C29" s="324"/>
      <c r="D29" s="325"/>
      <c r="E29" s="326"/>
      <c r="F29" s="327"/>
    </row>
    <row r="30" spans="1:6" x14ac:dyDescent="0.2">
      <c r="A30" s="328">
        <v>1</v>
      </c>
      <c r="B30" s="342" t="s">
        <v>682</v>
      </c>
      <c r="C30" s="342" t="s">
        <v>658</v>
      </c>
      <c r="D30" s="325">
        <v>3</v>
      </c>
      <c r="E30" s="326">
        <v>28.5</v>
      </c>
      <c r="F30" s="327">
        <f>D30*E30</f>
        <v>85.5</v>
      </c>
    </row>
    <row r="31" spans="1:6" ht="9" customHeight="1" x14ac:dyDescent="0.2">
      <c r="A31" s="328"/>
      <c r="B31" s="342"/>
      <c r="C31" s="342"/>
      <c r="D31" s="325"/>
      <c r="E31" s="326"/>
      <c r="F31" s="327"/>
    </row>
    <row r="32" spans="1:6" x14ac:dyDescent="0.2">
      <c r="A32" s="323"/>
      <c r="B32" s="356" t="s">
        <v>683</v>
      </c>
      <c r="C32" s="324"/>
      <c r="D32" s="325"/>
      <c r="E32" s="326"/>
      <c r="F32" s="327"/>
    </row>
    <row r="33" spans="1:6" x14ac:dyDescent="0.2">
      <c r="A33" s="323"/>
      <c r="B33" s="356" t="s">
        <v>681</v>
      </c>
      <c r="C33" s="324"/>
      <c r="D33" s="325"/>
      <c r="E33" s="326"/>
      <c r="F33" s="327"/>
    </row>
    <row r="34" spans="1:6" ht="8.4499999999999993" customHeight="1" x14ac:dyDescent="0.2">
      <c r="A34" s="328"/>
      <c r="B34" s="356"/>
      <c r="C34" s="324"/>
      <c r="D34" s="325"/>
      <c r="E34" s="326"/>
      <c r="F34" s="327"/>
    </row>
    <row r="35" spans="1:6" x14ac:dyDescent="0.2">
      <c r="A35" s="328">
        <v>2</v>
      </c>
      <c r="B35" s="342" t="s">
        <v>682</v>
      </c>
      <c r="C35" s="342" t="s">
        <v>658</v>
      </c>
      <c r="D35" s="325">
        <v>11</v>
      </c>
      <c r="E35" s="326">
        <v>54</v>
      </c>
      <c r="F35" s="327">
        <f>D35*E35</f>
        <v>594</v>
      </c>
    </row>
    <row r="36" spans="1:6" x14ac:dyDescent="0.2">
      <c r="A36" s="323"/>
      <c r="B36" s="345"/>
      <c r="C36" s="324"/>
      <c r="D36" s="347"/>
      <c r="E36" s="348"/>
      <c r="F36" s="327"/>
    </row>
    <row r="37" spans="1:6" x14ac:dyDescent="0.2">
      <c r="A37" s="323">
        <v>3</v>
      </c>
      <c r="B37" s="345" t="s">
        <v>713</v>
      </c>
      <c r="C37" s="342" t="s">
        <v>658</v>
      </c>
      <c r="D37" s="347">
        <v>1</v>
      </c>
      <c r="E37" s="348"/>
      <c r="F37" s="327">
        <f>D37*E37</f>
        <v>0</v>
      </c>
    </row>
    <row r="38" spans="1:6" x14ac:dyDescent="0.2">
      <c r="A38" s="323"/>
      <c r="B38" s="345"/>
      <c r="C38" s="324"/>
      <c r="D38" s="347"/>
      <c r="E38" s="348"/>
      <c r="F38" s="327"/>
    </row>
    <row r="39" spans="1:6" x14ac:dyDescent="0.2">
      <c r="A39" s="323">
        <v>4</v>
      </c>
      <c r="B39" s="345" t="s">
        <v>714</v>
      </c>
      <c r="C39" s="342" t="s">
        <v>658</v>
      </c>
      <c r="D39" s="347">
        <v>3</v>
      </c>
      <c r="E39" s="348">
        <v>15</v>
      </c>
      <c r="F39" s="327">
        <f>D39*E39</f>
        <v>45</v>
      </c>
    </row>
    <row r="40" spans="1:6" x14ac:dyDescent="0.2">
      <c r="A40" s="323"/>
      <c r="B40" s="345"/>
      <c r="C40" s="324"/>
      <c r="D40" s="347"/>
      <c r="E40" s="348"/>
      <c r="F40" s="327"/>
    </row>
    <row r="41" spans="1:6" x14ac:dyDescent="0.2">
      <c r="A41" s="323">
        <v>5</v>
      </c>
      <c r="B41" s="345" t="s">
        <v>715</v>
      </c>
      <c r="C41" s="342" t="s">
        <v>658</v>
      </c>
      <c r="D41" s="347">
        <v>12</v>
      </c>
      <c r="E41" s="348">
        <v>12.5</v>
      </c>
      <c r="F41" s="327">
        <f>D41*E41</f>
        <v>150</v>
      </c>
    </row>
    <row r="42" spans="1:6" x14ac:dyDescent="0.2">
      <c r="A42" s="323"/>
      <c r="B42" s="354"/>
      <c r="C42" s="324"/>
      <c r="D42" s="325"/>
      <c r="E42" s="326"/>
      <c r="F42" s="327"/>
    </row>
    <row r="43" spans="1:6" x14ac:dyDescent="0.2">
      <c r="A43" s="323"/>
      <c r="B43" s="354"/>
      <c r="C43" s="324"/>
      <c r="D43" s="325"/>
      <c r="E43" s="326"/>
      <c r="F43" s="327"/>
    </row>
    <row r="44" spans="1:6" x14ac:dyDescent="0.2">
      <c r="A44" s="323"/>
      <c r="B44" s="354"/>
      <c r="C44" s="342"/>
      <c r="D44" s="325"/>
      <c r="E44" s="326"/>
      <c r="F44" s="327"/>
    </row>
    <row r="45" spans="1:6" x14ac:dyDescent="0.2">
      <c r="A45" s="323"/>
      <c r="B45" s="324"/>
      <c r="C45" s="324"/>
      <c r="D45" s="325"/>
      <c r="E45" s="326"/>
      <c r="F45" s="327"/>
    </row>
    <row r="46" spans="1:6" ht="17.25" x14ac:dyDescent="0.2">
      <c r="A46" s="344"/>
      <c r="B46" s="346"/>
      <c r="C46" s="364"/>
      <c r="D46" s="347"/>
      <c r="E46" s="348"/>
      <c r="F46" s="349"/>
    </row>
    <row r="47" spans="1:6" ht="17.25" x14ac:dyDescent="0.2">
      <c r="A47" s="344"/>
      <c r="B47" s="346"/>
      <c r="C47" s="364"/>
      <c r="D47" s="347"/>
      <c r="E47" s="348"/>
      <c r="F47" s="349"/>
    </row>
    <row r="48" spans="1:6" ht="18.75" thickBot="1" x14ac:dyDescent="0.25">
      <c r="A48" s="366"/>
      <c r="B48" s="367" t="s">
        <v>698</v>
      </c>
      <c r="C48" s="368"/>
      <c r="D48" s="369"/>
      <c r="E48" s="370"/>
      <c r="F48" s="382">
        <f>SUM(F10:F47)</f>
        <v>3206.5</v>
      </c>
    </row>
    <row r="49" spans="1:6" ht="18.75" thickTop="1" x14ac:dyDescent="0.2">
      <c r="A49" s="366"/>
      <c r="B49" s="367"/>
      <c r="C49" s="368"/>
      <c r="D49" s="369"/>
      <c r="E49" s="370"/>
      <c r="F49" s="381"/>
    </row>
    <row r="50" spans="1:6" ht="18" x14ac:dyDescent="0.2">
      <c r="A50" s="371"/>
      <c r="B50" s="372"/>
      <c r="C50" s="373"/>
      <c r="D50" s="374"/>
      <c r="E50" s="375"/>
      <c r="F50" s="383"/>
    </row>
    <row r="51" spans="1:6" ht="18.75" thickBot="1" x14ac:dyDescent="0.25">
      <c r="A51" s="376"/>
      <c r="B51" s="377" t="s">
        <v>700</v>
      </c>
      <c r="C51" s="377"/>
      <c r="D51" s="378"/>
      <c r="E51" s="379"/>
      <c r="F51" s="380">
        <f>F48+F50</f>
        <v>3206.5</v>
      </c>
    </row>
    <row r="52" spans="1:6" x14ac:dyDescent="0.2">
      <c r="A52" s="350"/>
      <c r="B52" s="351"/>
      <c r="C52" s="351"/>
      <c r="D52" s="352"/>
      <c r="E52" s="353"/>
      <c r="F52" s="353"/>
    </row>
  </sheetData>
  <pageMargins left="0.7" right="0.7" top="0.75" bottom="0.75" header="0.3" footer="0.3"/>
  <pageSetup paperSize="9" scale="78" orientation="portrait" horizontalDpi="4294967293" r:id="rId1"/>
  <headerFooter>
    <oddFooter>&amp;LCompiled : MACO BUILDERS</oddFooter>
  </headerFooter>
  <rowBreaks count="1" manualBreakCount="1">
    <brk id="52"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3"/>
  <sheetViews>
    <sheetView view="pageBreakPreview" zoomScale="86" zoomScaleNormal="100" zoomScaleSheetLayoutView="86" workbookViewId="0">
      <selection activeCell="C27" sqref="C27"/>
    </sheetView>
  </sheetViews>
  <sheetFormatPr defaultRowHeight="16.5" x14ac:dyDescent="0.2"/>
  <cols>
    <col min="1" max="1" width="7.8203125" style="365" customWidth="1"/>
    <col min="2" max="2" width="52.05078125" style="295" customWidth="1"/>
    <col min="3" max="3" width="7.4140625" style="295" customWidth="1"/>
    <col min="4" max="4" width="8.76171875" style="296" customWidth="1"/>
    <col min="5" max="5" width="10.24609375" style="297" customWidth="1"/>
    <col min="6" max="6" width="11.0546875" style="297" customWidth="1"/>
  </cols>
  <sheetData>
    <row r="1" spans="1:6" x14ac:dyDescent="0.2">
      <c r="A1" s="294" t="s">
        <v>643</v>
      </c>
    </row>
    <row r="2" spans="1:6" ht="7.9" customHeight="1" x14ac:dyDescent="0.2">
      <c r="A2" s="294"/>
    </row>
    <row r="3" spans="1:6" x14ac:dyDescent="0.2">
      <c r="A3" s="294" t="s">
        <v>730</v>
      </c>
    </row>
    <row r="4" spans="1:6" ht="17.25" thickBot="1" x14ac:dyDescent="0.25">
      <c r="A4" s="298"/>
    </row>
    <row r="5" spans="1:6" x14ac:dyDescent="0.2">
      <c r="A5" s="299" t="s">
        <v>644</v>
      </c>
      <c r="B5" s="300" t="s">
        <v>645</v>
      </c>
      <c r="C5" s="301" t="s">
        <v>646</v>
      </c>
      <c r="D5" s="302" t="s">
        <v>647</v>
      </c>
      <c r="E5" s="303" t="s">
        <v>648</v>
      </c>
      <c r="F5" s="304" t="s">
        <v>649</v>
      </c>
    </row>
    <row r="6" spans="1:6" ht="17.25" thickBot="1" x14ac:dyDescent="0.25">
      <c r="A6" s="305" t="s">
        <v>650</v>
      </c>
      <c r="B6" s="306"/>
      <c r="C6" s="307"/>
      <c r="D6" s="308"/>
      <c r="E6" s="309"/>
      <c r="F6" s="310"/>
    </row>
    <row r="7" spans="1:6" x14ac:dyDescent="0.2">
      <c r="A7" s="311"/>
      <c r="B7" s="312"/>
      <c r="C7" s="313"/>
      <c r="D7" s="314"/>
      <c r="E7" s="315"/>
      <c r="F7" s="316"/>
    </row>
    <row r="8" spans="1:6" x14ac:dyDescent="0.2">
      <c r="A8" s="317" t="s">
        <v>651</v>
      </c>
      <c r="B8" s="318" t="s">
        <v>652</v>
      </c>
      <c r="C8" s="319"/>
      <c r="D8" s="320"/>
      <c r="E8" s="321"/>
      <c r="F8" s="322"/>
    </row>
    <row r="9" spans="1:6" x14ac:dyDescent="0.2">
      <c r="A9" s="323"/>
      <c r="B9" s="324"/>
      <c r="C9" s="324"/>
      <c r="D9" s="325"/>
      <c r="E9" s="326"/>
      <c r="F9" s="327"/>
    </row>
    <row r="10" spans="1:6" x14ac:dyDescent="0.2">
      <c r="A10" s="323">
        <v>1</v>
      </c>
      <c r="B10" s="324" t="s">
        <v>653</v>
      </c>
      <c r="C10" s="324" t="s">
        <v>654</v>
      </c>
      <c r="D10" s="325">
        <v>23</v>
      </c>
      <c r="E10" s="326">
        <v>12</v>
      </c>
      <c r="F10" s="327">
        <f>D10*E10:E10</f>
        <v>276</v>
      </c>
    </row>
    <row r="11" spans="1:6" x14ac:dyDescent="0.2">
      <c r="A11" s="323">
        <v>2</v>
      </c>
      <c r="B11" s="324" t="s">
        <v>655</v>
      </c>
      <c r="C11" s="324" t="s">
        <v>21</v>
      </c>
      <c r="D11" s="325">
        <v>3</v>
      </c>
      <c r="E11" s="326">
        <v>40</v>
      </c>
      <c r="F11" s="327">
        <f t="shared" ref="F11:F31" si="0">D11*E11:E11</f>
        <v>120</v>
      </c>
    </row>
    <row r="12" spans="1:6" x14ac:dyDescent="0.2">
      <c r="A12" s="323">
        <v>3</v>
      </c>
      <c r="B12" s="324" t="s">
        <v>656</v>
      </c>
      <c r="C12" s="324" t="s">
        <v>21</v>
      </c>
      <c r="D12" s="325">
        <v>1</v>
      </c>
      <c r="E12" s="326">
        <v>40</v>
      </c>
      <c r="F12" s="327">
        <f t="shared" si="0"/>
        <v>40</v>
      </c>
    </row>
    <row r="13" spans="1:6" x14ac:dyDescent="0.2">
      <c r="A13" s="323">
        <v>4</v>
      </c>
      <c r="B13" s="324" t="s">
        <v>657</v>
      </c>
      <c r="C13" s="324" t="s">
        <v>21</v>
      </c>
      <c r="D13" s="325">
        <v>4</v>
      </c>
      <c r="E13" s="326">
        <v>50</v>
      </c>
      <c r="F13" s="327">
        <f t="shared" si="0"/>
        <v>200</v>
      </c>
    </row>
    <row r="14" spans="1:6" x14ac:dyDescent="0.2">
      <c r="A14" s="323">
        <v>5</v>
      </c>
      <c r="B14" s="324" t="s">
        <v>694</v>
      </c>
      <c r="C14" s="324" t="s">
        <v>658</v>
      </c>
      <c r="D14" s="325">
        <v>1100</v>
      </c>
      <c r="E14" s="326">
        <v>0.23</v>
      </c>
      <c r="F14" s="327">
        <f t="shared" si="0"/>
        <v>253</v>
      </c>
    </row>
    <row r="15" spans="1:6" x14ac:dyDescent="0.2">
      <c r="A15" s="323">
        <v>6</v>
      </c>
      <c r="B15" s="324" t="s">
        <v>660</v>
      </c>
      <c r="C15" s="324" t="s">
        <v>84</v>
      </c>
      <c r="D15" s="325">
        <v>22</v>
      </c>
      <c r="E15" s="326">
        <v>1.35</v>
      </c>
      <c r="F15" s="327">
        <f t="shared" si="0"/>
        <v>29.700000000000003</v>
      </c>
    </row>
    <row r="16" spans="1:6" x14ac:dyDescent="0.2">
      <c r="A16" s="323">
        <v>7</v>
      </c>
      <c r="B16" s="324" t="s">
        <v>695</v>
      </c>
      <c r="C16" s="324" t="s">
        <v>658</v>
      </c>
      <c r="D16" s="325">
        <v>1</v>
      </c>
      <c r="E16" s="326">
        <v>12</v>
      </c>
      <c r="F16" s="327">
        <f t="shared" si="0"/>
        <v>12</v>
      </c>
    </row>
    <row r="17" spans="1:6" x14ac:dyDescent="0.2">
      <c r="A17" s="323">
        <v>8</v>
      </c>
      <c r="B17" s="324" t="s">
        <v>661</v>
      </c>
      <c r="C17" s="324" t="s">
        <v>659</v>
      </c>
      <c r="D17" s="325">
        <v>2</v>
      </c>
      <c r="E17" s="326">
        <v>5</v>
      </c>
      <c r="F17" s="327">
        <f t="shared" si="0"/>
        <v>10</v>
      </c>
    </row>
    <row r="18" spans="1:6" x14ac:dyDescent="0.2">
      <c r="A18" s="323">
        <v>9</v>
      </c>
      <c r="B18" s="324" t="s">
        <v>662</v>
      </c>
      <c r="C18" s="324" t="s">
        <v>659</v>
      </c>
      <c r="D18" s="325">
        <v>1</v>
      </c>
      <c r="E18" s="326">
        <v>4</v>
      </c>
      <c r="F18" s="327">
        <f t="shared" si="0"/>
        <v>4</v>
      </c>
    </row>
    <row r="19" spans="1:6" x14ac:dyDescent="0.2">
      <c r="A19" s="323">
        <v>10</v>
      </c>
      <c r="B19" s="324" t="s">
        <v>663</v>
      </c>
      <c r="C19" s="324" t="s">
        <v>21</v>
      </c>
      <c r="D19" s="325">
        <v>3</v>
      </c>
      <c r="E19" s="326">
        <v>30</v>
      </c>
      <c r="F19" s="327">
        <f t="shared" si="0"/>
        <v>90</v>
      </c>
    </row>
    <row r="20" spans="1:6" s="1" customFormat="1" x14ac:dyDescent="0.2">
      <c r="A20" s="391"/>
      <c r="B20" s="359"/>
      <c r="C20" s="359"/>
      <c r="D20" s="401"/>
      <c r="E20" s="395"/>
      <c r="F20" s="404">
        <f>SUM(F10:F19)</f>
        <v>1034.7</v>
      </c>
    </row>
    <row r="21" spans="1:6" x14ac:dyDescent="0.2">
      <c r="A21" s="323"/>
      <c r="B21" s="324"/>
      <c r="C21" s="324"/>
      <c r="D21" s="325"/>
      <c r="E21" s="326"/>
      <c r="F21" s="327"/>
    </row>
    <row r="22" spans="1:6" x14ac:dyDescent="0.2">
      <c r="A22" s="330" t="s">
        <v>664</v>
      </c>
      <c r="B22" s="331" t="s">
        <v>665</v>
      </c>
      <c r="C22" s="324"/>
      <c r="D22" s="325"/>
      <c r="E22" s="326"/>
      <c r="F22" s="327"/>
    </row>
    <row r="23" spans="1:6" x14ac:dyDescent="0.2">
      <c r="A23" s="323"/>
      <c r="B23" s="324"/>
      <c r="C23" s="324"/>
      <c r="D23" s="325"/>
      <c r="E23" s="326"/>
      <c r="F23" s="327"/>
    </row>
    <row r="24" spans="1:6" x14ac:dyDescent="0.2">
      <c r="A24" s="323">
        <v>1</v>
      </c>
      <c r="B24" s="324" t="s">
        <v>666</v>
      </c>
      <c r="C24" s="324" t="s">
        <v>667</v>
      </c>
      <c r="D24" s="325">
        <v>10</v>
      </c>
      <c r="E24" s="326">
        <v>12</v>
      </c>
      <c r="F24" s="327">
        <f t="shared" si="0"/>
        <v>120</v>
      </c>
    </row>
    <row r="25" spans="1:6" x14ac:dyDescent="0.2">
      <c r="A25" s="328">
        <v>2</v>
      </c>
      <c r="B25" s="324" t="s">
        <v>656</v>
      </c>
      <c r="C25" s="324" t="s">
        <v>21</v>
      </c>
      <c r="D25" s="325">
        <v>2</v>
      </c>
      <c r="E25" s="326">
        <v>40</v>
      </c>
      <c r="F25" s="327">
        <f t="shared" si="0"/>
        <v>80</v>
      </c>
    </row>
    <row r="26" spans="1:6" x14ac:dyDescent="0.2">
      <c r="A26" s="328">
        <v>3</v>
      </c>
      <c r="B26" s="324" t="s">
        <v>668</v>
      </c>
      <c r="C26" s="324" t="s">
        <v>658</v>
      </c>
      <c r="D26" s="325">
        <v>2900</v>
      </c>
      <c r="E26" s="326">
        <v>0.18</v>
      </c>
      <c r="F26" s="327">
        <f t="shared" si="0"/>
        <v>522</v>
      </c>
    </row>
    <row r="27" spans="1:6" x14ac:dyDescent="0.2">
      <c r="A27" s="328">
        <v>4</v>
      </c>
      <c r="B27" s="324" t="s">
        <v>669</v>
      </c>
      <c r="C27" s="324" t="s">
        <v>696</v>
      </c>
      <c r="D27" s="325">
        <v>6</v>
      </c>
      <c r="E27" s="326">
        <v>3</v>
      </c>
      <c r="F27" s="327">
        <f t="shared" si="0"/>
        <v>18</v>
      </c>
    </row>
    <row r="28" spans="1:6" x14ac:dyDescent="0.2">
      <c r="A28" s="328">
        <v>5</v>
      </c>
      <c r="B28" s="324" t="s">
        <v>670</v>
      </c>
      <c r="C28" s="324" t="s">
        <v>659</v>
      </c>
      <c r="D28" s="325">
        <v>4</v>
      </c>
      <c r="E28" s="326">
        <v>5</v>
      </c>
      <c r="F28" s="327">
        <f t="shared" si="0"/>
        <v>20</v>
      </c>
    </row>
    <row r="29" spans="1:6" x14ac:dyDescent="0.2">
      <c r="A29" s="328">
        <v>6</v>
      </c>
      <c r="B29" s="324" t="s">
        <v>671</v>
      </c>
      <c r="C29" s="324" t="s">
        <v>659</v>
      </c>
      <c r="D29" s="325">
        <v>2</v>
      </c>
      <c r="E29" s="326">
        <v>4</v>
      </c>
      <c r="F29" s="327">
        <f t="shared" si="0"/>
        <v>8</v>
      </c>
    </row>
    <row r="30" spans="1:6" ht="15" customHeight="1" x14ac:dyDescent="0.2">
      <c r="A30" s="328">
        <v>7</v>
      </c>
      <c r="B30" s="324" t="s">
        <v>737</v>
      </c>
      <c r="C30" s="324" t="s">
        <v>659</v>
      </c>
      <c r="D30" s="325">
        <v>1</v>
      </c>
      <c r="E30" s="326">
        <v>12</v>
      </c>
      <c r="F30" s="349">
        <f t="shared" si="0"/>
        <v>12</v>
      </c>
    </row>
    <row r="31" spans="1:6" ht="16.899999999999999" customHeight="1" x14ac:dyDescent="0.2">
      <c r="A31" s="328">
        <v>8</v>
      </c>
      <c r="B31" s="324" t="s">
        <v>738</v>
      </c>
      <c r="C31" s="324" t="s">
        <v>659</v>
      </c>
      <c r="D31" s="389">
        <v>1</v>
      </c>
      <c r="E31" s="387">
        <v>8</v>
      </c>
      <c r="F31" s="349">
        <f t="shared" si="0"/>
        <v>8</v>
      </c>
    </row>
    <row r="32" spans="1:6" s="1" customFormat="1" ht="17.25" thickBot="1" x14ac:dyDescent="0.25">
      <c r="A32" s="330"/>
      <c r="B32" s="397"/>
      <c r="C32" s="398"/>
      <c r="D32" s="399"/>
      <c r="E32" s="400"/>
      <c r="F32" s="396">
        <f>SUM(F24:F31)</f>
        <v>788</v>
      </c>
    </row>
    <row r="33" spans="1:6" ht="17.25" thickTop="1" x14ac:dyDescent="0.2">
      <c r="A33" s="328"/>
      <c r="B33" s="339"/>
      <c r="C33" s="388"/>
      <c r="D33" s="389"/>
      <c r="E33" s="387"/>
      <c r="F33" s="390"/>
    </row>
    <row r="34" spans="1:6" x14ac:dyDescent="0.2">
      <c r="A34" s="334">
        <v>3</v>
      </c>
      <c r="B34" s="331" t="s">
        <v>672</v>
      </c>
      <c r="C34" s="324"/>
      <c r="D34" s="325"/>
      <c r="E34" s="326"/>
      <c r="F34" s="327"/>
    </row>
    <row r="35" spans="1:6" x14ac:dyDescent="0.2">
      <c r="A35" s="335"/>
      <c r="B35" s="336"/>
      <c r="C35" s="337"/>
      <c r="D35" s="338"/>
      <c r="E35" s="326"/>
      <c r="F35" s="327"/>
    </row>
    <row r="36" spans="1:6" x14ac:dyDescent="0.2">
      <c r="A36" s="323"/>
      <c r="B36" s="339" t="s">
        <v>731</v>
      </c>
      <c r="C36" s="340"/>
      <c r="D36" s="338"/>
      <c r="E36" s="326"/>
      <c r="F36" s="327"/>
    </row>
    <row r="37" spans="1:6" x14ac:dyDescent="0.2">
      <c r="A37" s="323">
        <v>1</v>
      </c>
      <c r="B37" s="339" t="s">
        <v>736</v>
      </c>
      <c r="C37" s="340" t="s">
        <v>22</v>
      </c>
      <c r="D37" s="338">
        <v>8</v>
      </c>
      <c r="E37" s="326">
        <v>28</v>
      </c>
      <c r="F37" s="327">
        <f t="shared" ref="F37:F43" si="1">D37*E37</f>
        <v>224</v>
      </c>
    </row>
    <row r="38" spans="1:6" x14ac:dyDescent="0.2">
      <c r="A38" s="323">
        <v>2</v>
      </c>
      <c r="B38" s="341" t="s">
        <v>760</v>
      </c>
      <c r="C38" s="340" t="s">
        <v>22</v>
      </c>
      <c r="D38" s="338">
        <v>8</v>
      </c>
      <c r="E38" s="326">
        <v>13.56</v>
      </c>
      <c r="F38" s="327">
        <f t="shared" si="1"/>
        <v>108.48</v>
      </c>
    </row>
    <row r="39" spans="1:6" x14ac:dyDescent="0.2">
      <c r="A39" s="323">
        <v>3</v>
      </c>
      <c r="B39" s="341" t="s">
        <v>763</v>
      </c>
      <c r="C39" s="340" t="s">
        <v>22</v>
      </c>
      <c r="D39" s="338">
        <v>3</v>
      </c>
      <c r="E39" s="326">
        <v>12</v>
      </c>
      <c r="F39" s="327">
        <f t="shared" si="1"/>
        <v>36</v>
      </c>
    </row>
    <row r="40" spans="1:6" x14ac:dyDescent="0.2">
      <c r="A40" s="323">
        <v>4</v>
      </c>
      <c r="B40" s="341" t="s">
        <v>761</v>
      </c>
      <c r="C40" s="340" t="s">
        <v>717</v>
      </c>
      <c r="D40" s="338">
        <v>8</v>
      </c>
      <c r="E40" s="326">
        <v>28</v>
      </c>
      <c r="F40" s="327">
        <f t="shared" si="1"/>
        <v>224</v>
      </c>
    </row>
    <row r="41" spans="1:6" x14ac:dyDescent="0.2">
      <c r="A41" s="323">
        <v>5</v>
      </c>
      <c r="B41" s="341" t="s">
        <v>762</v>
      </c>
      <c r="C41" s="340" t="s">
        <v>80</v>
      </c>
      <c r="D41" s="338">
        <v>2</v>
      </c>
      <c r="E41" s="326">
        <v>13.63</v>
      </c>
      <c r="F41" s="349">
        <f t="shared" si="1"/>
        <v>27.26</v>
      </c>
    </row>
    <row r="42" spans="1:6" x14ac:dyDescent="0.2">
      <c r="A42" s="323">
        <v>6</v>
      </c>
      <c r="B42" s="341" t="s">
        <v>765</v>
      </c>
      <c r="C42" s="340" t="s">
        <v>98</v>
      </c>
      <c r="D42" s="338">
        <v>1</v>
      </c>
      <c r="E42" s="326">
        <v>8</v>
      </c>
      <c r="F42" s="349">
        <f t="shared" si="1"/>
        <v>8</v>
      </c>
    </row>
    <row r="43" spans="1:6" x14ac:dyDescent="0.2">
      <c r="A43" s="323">
        <v>7</v>
      </c>
      <c r="B43" s="341" t="s">
        <v>766</v>
      </c>
      <c r="C43" s="340" t="s">
        <v>98</v>
      </c>
      <c r="D43" s="338">
        <v>2</v>
      </c>
      <c r="E43" s="326">
        <v>3</v>
      </c>
      <c r="F43" s="349">
        <f t="shared" si="1"/>
        <v>6</v>
      </c>
    </row>
    <row r="44" spans="1:6" s="1" customFormat="1" ht="17.25" thickBot="1" x14ac:dyDescent="0.25">
      <c r="A44" s="391"/>
      <c r="B44" s="392"/>
      <c r="C44" s="393"/>
      <c r="D44" s="394"/>
      <c r="E44" s="395"/>
      <c r="F44" s="396">
        <f>SUM(F37:F43)</f>
        <v>633.74</v>
      </c>
    </row>
    <row r="45" spans="1:6" s="1" customFormat="1" ht="17.25" thickTop="1" x14ac:dyDescent="0.2">
      <c r="A45" s="391"/>
      <c r="B45" s="392"/>
      <c r="C45" s="393"/>
      <c r="D45" s="394"/>
      <c r="E45" s="395"/>
      <c r="F45" s="405"/>
    </row>
    <row r="46" spans="1:6" s="1" customFormat="1" x14ac:dyDescent="0.2">
      <c r="A46" s="391"/>
      <c r="B46" s="392"/>
      <c r="C46" s="393"/>
      <c r="D46" s="394"/>
      <c r="E46" s="395"/>
      <c r="F46" s="405"/>
    </row>
    <row r="47" spans="1:6" s="1" customFormat="1" x14ac:dyDescent="0.2">
      <c r="A47" s="391"/>
      <c r="B47" s="392"/>
      <c r="C47" s="393"/>
      <c r="D47" s="394"/>
      <c r="E47" s="395"/>
      <c r="F47" s="405"/>
    </row>
    <row r="48" spans="1:6" x14ac:dyDescent="0.2">
      <c r="A48" s="334">
        <v>4</v>
      </c>
      <c r="B48" s="343" t="s">
        <v>673</v>
      </c>
      <c r="C48" s="324"/>
      <c r="D48" s="325"/>
      <c r="E48" s="326"/>
      <c r="F48" s="322"/>
    </row>
    <row r="49" spans="1:6" x14ac:dyDescent="0.2">
      <c r="A49" s="323"/>
      <c r="B49" s="331"/>
      <c r="C49" s="324"/>
      <c r="D49" s="325"/>
      <c r="E49" s="326"/>
      <c r="F49" s="327"/>
    </row>
    <row r="50" spans="1:6" x14ac:dyDescent="0.2">
      <c r="A50" s="323"/>
      <c r="B50" s="343" t="s">
        <v>674</v>
      </c>
      <c r="C50" s="324"/>
      <c r="D50" s="325"/>
      <c r="E50" s="326"/>
      <c r="F50" s="327"/>
    </row>
    <row r="51" spans="1:6" x14ac:dyDescent="0.2">
      <c r="A51" s="323">
        <v>1</v>
      </c>
      <c r="B51" s="342" t="s">
        <v>675</v>
      </c>
      <c r="C51" s="324" t="s">
        <v>658</v>
      </c>
      <c r="D51" s="325">
        <v>1</v>
      </c>
      <c r="E51" s="326">
        <v>46.96</v>
      </c>
      <c r="F51" s="327">
        <f>D51*E51</f>
        <v>46.96</v>
      </c>
    </row>
    <row r="52" spans="1:6" x14ac:dyDescent="0.2">
      <c r="A52" s="323">
        <v>2</v>
      </c>
      <c r="B52" s="342" t="s">
        <v>676</v>
      </c>
      <c r="C52" s="324" t="s">
        <v>658</v>
      </c>
      <c r="D52" s="325">
        <v>1</v>
      </c>
      <c r="E52" s="326">
        <v>56</v>
      </c>
      <c r="F52" s="327">
        <f>D52*E52</f>
        <v>56</v>
      </c>
    </row>
    <row r="53" spans="1:6" s="1" customFormat="1" x14ac:dyDescent="0.2">
      <c r="A53" s="391"/>
      <c r="B53" s="393"/>
      <c r="C53" s="359"/>
      <c r="D53" s="401"/>
      <c r="E53" s="395"/>
      <c r="F53" s="407">
        <f>SUM(F51:F52)</f>
        <v>102.96000000000001</v>
      </c>
    </row>
    <row r="54" spans="1:6" s="1" customFormat="1" x14ac:dyDescent="0.2">
      <c r="A54" s="391"/>
      <c r="B54" s="393"/>
      <c r="C54" s="359"/>
      <c r="D54" s="401"/>
      <c r="E54" s="395"/>
      <c r="F54" s="407"/>
    </row>
    <row r="55" spans="1:6" x14ac:dyDescent="0.2">
      <c r="A55" s="323"/>
      <c r="B55" s="331" t="s">
        <v>677</v>
      </c>
      <c r="C55" s="342"/>
      <c r="D55" s="325"/>
      <c r="E55" s="326"/>
      <c r="F55" s="327"/>
    </row>
    <row r="56" spans="1:6" x14ac:dyDescent="0.2">
      <c r="A56" s="406">
        <v>3</v>
      </c>
      <c r="B56" s="354" t="s">
        <v>712</v>
      </c>
      <c r="C56" s="324" t="s">
        <v>616</v>
      </c>
      <c r="D56" s="325">
        <v>1</v>
      </c>
      <c r="E56" s="326">
        <v>101</v>
      </c>
      <c r="F56" s="327">
        <f>D56*E56</f>
        <v>101</v>
      </c>
    </row>
    <row r="57" spans="1:6" x14ac:dyDescent="0.2">
      <c r="A57" s="406">
        <v>4</v>
      </c>
      <c r="B57" s="354" t="s">
        <v>732</v>
      </c>
      <c r="C57" s="324" t="s">
        <v>616</v>
      </c>
      <c r="D57" s="325">
        <v>2</v>
      </c>
      <c r="E57" s="326">
        <v>74.63</v>
      </c>
      <c r="F57" s="327">
        <f>D57*E57</f>
        <v>149.26</v>
      </c>
    </row>
    <row r="58" spans="1:6" s="1" customFormat="1" ht="17.25" thickBot="1" x14ac:dyDescent="0.25">
      <c r="A58" s="391"/>
      <c r="B58" s="403"/>
      <c r="C58" s="393"/>
      <c r="D58" s="401"/>
      <c r="E58" s="395"/>
      <c r="F58" s="396">
        <f>SUM(F56:F57)</f>
        <v>250.26</v>
      </c>
    </row>
    <row r="59" spans="1:6" ht="17.25" thickTop="1" x14ac:dyDescent="0.2">
      <c r="A59" s="355">
        <v>5</v>
      </c>
      <c r="B59" s="331" t="s">
        <v>678</v>
      </c>
      <c r="C59" s="324"/>
      <c r="D59" s="325"/>
      <c r="E59" s="326"/>
      <c r="F59" s="327"/>
    </row>
    <row r="60" spans="1:6" x14ac:dyDescent="0.2">
      <c r="A60" s="323"/>
      <c r="B60" s="324"/>
      <c r="C60" s="324"/>
      <c r="D60" s="325"/>
      <c r="E60" s="326"/>
      <c r="F60" s="327"/>
    </row>
    <row r="61" spans="1:6" x14ac:dyDescent="0.2">
      <c r="A61" s="323"/>
      <c r="B61" s="356" t="s">
        <v>679</v>
      </c>
      <c r="C61" s="324"/>
      <c r="D61" s="325"/>
      <c r="E61" s="326"/>
      <c r="F61" s="327"/>
    </row>
    <row r="62" spans="1:6" x14ac:dyDescent="0.2">
      <c r="A62" s="323"/>
      <c r="B62" s="356" t="s">
        <v>734</v>
      </c>
      <c r="C62" s="324"/>
      <c r="D62" s="325"/>
      <c r="E62" s="326"/>
      <c r="F62" s="327"/>
    </row>
    <row r="63" spans="1:6" x14ac:dyDescent="0.2">
      <c r="A63" s="323"/>
      <c r="B63" s="356" t="s">
        <v>733</v>
      </c>
      <c r="C63" s="324"/>
      <c r="D63" s="325"/>
      <c r="E63" s="326"/>
      <c r="F63" s="327"/>
    </row>
    <row r="64" spans="1:6" ht="0.6" customHeight="1" x14ac:dyDescent="0.2">
      <c r="A64" s="328"/>
      <c r="B64" s="356"/>
      <c r="C64" s="324"/>
      <c r="D64" s="325"/>
      <c r="E64" s="326"/>
      <c r="F64" s="327"/>
    </row>
    <row r="65" spans="1:6" x14ac:dyDescent="0.2">
      <c r="A65" s="328">
        <v>1</v>
      </c>
      <c r="B65" s="342" t="s">
        <v>682</v>
      </c>
      <c r="C65" s="342" t="s">
        <v>658</v>
      </c>
      <c r="D65" s="325">
        <v>1</v>
      </c>
      <c r="E65" s="326">
        <v>54</v>
      </c>
      <c r="F65" s="327">
        <f>D65*E65</f>
        <v>54</v>
      </c>
    </row>
    <row r="66" spans="1:6" ht="13.9" customHeight="1" x14ac:dyDescent="0.2">
      <c r="A66" s="328"/>
      <c r="B66" s="342"/>
      <c r="C66" s="342"/>
      <c r="D66" s="325"/>
      <c r="E66" s="326"/>
      <c r="F66" s="327"/>
    </row>
    <row r="67" spans="1:6" x14ac:dyDescent="0.2">
      <c r="A67" s="323"/>
      <c r="B67" s="356" t="s">
        <v>735</v>
      </c>
      <c r="C67" s="324"/>
      <c r="D67" s="325"/>
      <c r="E67" s="326"/>
      <c r="F67" s="327"/>
    </row>
    <row r="68" spans="1:6" x14ac:dyDescent="0.2">
      <c r="A68" s="323"/>
      <c r="B68" s="356" t="s">
        <v>733</v>
      </c>
      <c r="C68" s="324"/>
      <c r="D68" s="325"/>
      <c r="E68" s="326"/>
      <c r="F68" s="327"/>
    </row>
    <row r="69" spans="1:6" ht="4.1500000000000004" customHeight="1" x14ac:dyDescent="0.2">
      <c r="A69" s="328"/>
      <c r="B69" s="356"/>
      <c r="C69" s="324"/>
      <c r="D69" s="325"/>
      <c r="E69" s="326"/>
      <c r="F69" s="327"/>
    </row>
    <row r="70" spans="1:6" x14ac:dyDescent="0.2">
      <c r="A70" s="328">
        <v>2</v>
      </c>
      <c r="B70" s="342" t="s">
        <v>682</v>
      </c>
      <c r="C70" s="342" t="s">
        <v>658</v>
      </c>
      <c r="D70" s="325">
        <v>1</v>
      </c>
      <c r="E70" s="326">
        <v>28.5</v>
      </c>
      <c r="F70" s="327">
        <f>D70*E70</f>
        <v>28.5</v>
      </c>
    </row>
    <row r="71" spans="1:6" x14ac:dyDescent="0.2">
      <c r="A71" s="328"/>
      <c r="B71" s="342"/>
      <c r="C71" s="342"/>
      <c r="D71" s="325"/>
      <c r="E71" s="326"/>
      <c r="F71" s="327"/>
    </row>
    <row r="72" spans="1:6" x14ac:dyDescent="0.2">
      <c r="A72" s="329"/>
      <c r="B72" s="331" t="s">
        <v>684</v>
      </c>
      <c r="C72" s="324"/>
      <c r="D72" s="325"/>
      <c r="E72" s="326"/>
      <c r="F72" s="327"/>
    </row>
    <row r="73" spans="1:6" x14ac:dyDescent="0.2">
      <c r="A73" s="329"/>
      <c r="B73" s="356" t="s">
        <v>685</v>
      </c>
      <c r="C73" s="324"/>
      <c r="D73" s="325"/>
      <c r="E73" s="326"/>
      <c r="F73" s="327"/>
    </row>
    <row r="74" spans="1:6" x14ac:dyDescent="0.2">
      <c r="A74" s="329"/>
      <c r="B74" s="356" t="s">
        <v>686</v>
      </c>
      <c r="C74" s="324"/>
      <c r="D74" s="325"/>
      <c r="E74" s="326"/>
      <c r="F74" s="327"/>
    </row>
    <row r="75" spans="1:6" ht="6" customHeight="1" x14ac:dyDescent="0.2">
      <c r="A75" s="329"/>
      <c r="B75" s="324"/>
      <c r="C75" s="324"/>
      <c r="D75" s="325"/>
      <c r="E75" s="326"/>
      <c r="F75" s="327"/>
    </row>
    <row r="76" spans="1:6" x14ac:dyDescent="0.2">
      <c r="A76" s="329"/>
      <c r="B76" s="356" t="s">
        <v>699</v>
      </c>
      <c r="C76" s="324"/>
      <c r="D76" s="325"/>
      <c r="E76" s="326"/>
      <c r="F76" s="327"/>
    </row>
    <row r="77" spans="1:6" ht="6.6" customHeight="1" x14ac:dyDescent="0.2">
      <c r="A77" s="329"/>
      <c r="B77" s="342"/>
      <c r="C77" s="342"/>
      <c r="D77" s="325"/>
      <c r="E77" s="326"/>
      <c r="F77" s="327"/>
    </row>
    <row r="78" spans="1:6" x14ac:dyDescent="0.2">
      <c r="A78" s="328">
        <v>3</v>
      </c>
      <c r="B78" s="354" t="s">
        <v>687</v>
      </c>
      <c r="C78" s="342" t="s">
        <v>658</v>
      </c>
      <c r="D78" s="325">
        <v>1</v>
      </c>
      <c r="E78" s="326">
        <v>15</v>
      </c>
      <c r="F78" s="327">
        <f>D78*E78</f>
        <v>15</v>
      </c>
    </row>
    <row r="79" spans="1:6" x14ac:dyDescent="0.2">
      <c r="A79" s="328">
        <v>4</v>
      </c>
      <c r="B79" s="354" t="s">
        <v>688</v>
      </c>
      <c r="C79" s="342" t="s">
        <v>658</v>
      </c>
      <c r="D79" s="325">
        <v>1</v>
      </c>
      <c r="E79" s="326">
        <v>12.5</v>
      </c>
      <c r="F79" s="327">
        <f>D79*E79</f>
        <v>12.5</v>
      </c>
    </row>
    <row r="80" spans="1:6" x14ac:dyDescent="0.2">
      <c r="A80" s="328">
        <v>5</v>
      </c>
      <c r="B80" s="354" t="s">
        <v>689</v>
      </c>
      <c r="C80" s="342" t="s">
        <v>616</v>
      </c>
      <c r="D80" s="325">
        <v>2</v>
      </c>
      <c r="E80" s="326">
        <v>1</v>
      </c>
      <c r="F80" s="327">
        <f>D80*E80</f>
        <v>2</v>
      </c>
    </row>
    <row r="81" spans="1:6" x14ac:dyDescent="0.2">
      <c r="A81" s="328"/>
      <c r="B81" s="354"/>
      <c r="C81" s="342"/>
      <c r="D81" s="325"/>
      <c r="E81" s="326"/>
      <c r="F81" s="327"/>
    </row>
    <row r="82" spans="1:6" s="1" customFormat="1" ht="17.25" thickBot="1" x14ac:dyDescent="0.25">
      <c r="A82" s="355"/>
      <c r="B82" s="403"/>
      <c r="C82" s="393"/>
      <c r="D82" s="401"/>
      <c r="E82" s="395"/>
      <c r="F82" s="396">
        <f>SUM(F65:F80)</f>
        <v>112</v>
      </c>
    </row>
    <row r="83" spans="1:6" ht="17.25" thickTop="1" x14ac:dyDescent="0.2">
      <c r="A83" s="333"/>
      <c r="B83" s="385"/>
      <c r="C83" s="342"/>
      <c r="D83" s="325"/>
      <c r="E83" s="326"/>
      <c r="F83" s="327"/>
    </row>
    <row r="84" spans="1:6" x14ac:dyDescent="0.2">
      <c r="A84" s="355">
        <v>6</v>
      </c>
      <c r="B84" s="331" t="s">
        <v>719</v>
      </c>
      <c r="C84" s="324"/>
      <c r="D84" s="325"/>
      <c r="E84" s="326"/>
      <c r="F84" s="327"/>
    </row>
    <row r="85" spans="1:6" x14ac:dyDescent="0.2">
      <c r="A85" s="333">
        <v>1</v>
      </c>
      <c r="B85" s="385" t="s">
        <v>11</v>
      </c>
      <c r="C85" s="342" t="s">
        <v>22</v>
      </c>
      <c r="D85" s="325">
        <v>22</v>
      </c>
      <c r="E85" s="326">
        <v>12</v>
      </c>
      <c r="F85" s="327">
        <f>D85*E85</f>
        <v>264</v>
      </c>
    </row>
    <row r="86" spans="1:6" x14ac:dyDescent="0.2">
      <c r="A86" s="333">
        <v>2</v>
      </c>
      <c r="B86" s="385" t="s">
        <v>718</v>
      </c>
      <c r="C86" s="324" t="s">
        <v>21</v>
      </c>
      <c r="D86" s="325">
        <v>2</v>
      </c>
      <c r="E86" s="326">
        <v>40</v>
      </c>
      <c r="F86" s="327">
        <f>D86*E86</f>
        <v>80</v>
      </c>
    </row>
    <row r="87" spans="1:6" x14ac:dyDescent="0.2">
      <c r="A87" s="323">
        <v>3</v>
      </c>
      <c r="B87" s="324" t="s">
        <v>716</v>
      </c>
      <c r="C87" s="324" t="s">
        <v>21</v>
      </c>
      <c r="D87" s="325">
        <v>3</v>
      </c>
      <c r="E87" s="326">
        <v>40</v>
      </c>
      <c r="F87" s="327">
        <f>D87*E87</f>
        <v>120</v>
      </c>
    </row>
    <row r="88" spans="1:6" x14ac:dyDescent="0.2">
      <c r="A88" s="330"/>
      <c r="B88" s="359" t="s">
        <v>692</v>
      </c>
      <c r="C88" s="324"/>
      <c r="D88" s="325"/>
      <c r="E88" s="326"/>
      <c r="F88" s="327"/>
    </row>
    <row r="89" spans="1:6" ht="17.25" thickBot="1" x14ac:dyDescent="0.25">
      <c r="A89" s="323"/>
      <c r="B89" s="324"/>
      <c r="C89" s="324"/>
      <c r="D89" s="325"/>
      <c r="E89" s="326"/>
      <c r="F89" s="396">
        <f>SUM(F85:F88)</f>
        <v>464</v>
      </c>
    </row>
    <row r="90" spans="1:6" ht="17.25" thickTop="1" x14ac:dyDescent="0.2">
      <c r="A90" s="355">
        <v>7</v>
      </c>
      <c r="B90" s="360" t="s">
        <v>693</v>
      </c>
      <c r="C90" s="324"/>
      <c r="D90" s="325"/>
      <c r="E90" s="326"/>
      <c r="F90" s="322"/>
    </row>
    <row r="91" spans="1:6" x14ac:dyDescent="0.2">
      <c r="A91" s="330"/>
      <c r="B91" s="360"/>
      <c r="C91" s="324"/>
      <c r="D91" s="325"/>
      <c r="E91" s="326"/>
      <c r="F91" s="327"/>
    </row>
    <row r="92" spans="1:6" x14ac:dyDescent="0.2">
      <c r="A92" s="323">
        <v>1</v>
      </c>
      <c r="B92" s="361" t="s">
        <v>764</v>
      </c>
      <c r="C92" s="324" t="s">
        <v>84</v>
      </c>
      <c r="D92" s="362">
        <v>5.26</v>
      </c>
      <c r="E92" s="326">
        <v>5.2</v>
      </c>
      <c r="F92" s="402">
        <f>D92*E92</f>
        <v>27.352</v>
      </c>
    </row>
    <row r="93" spans="1:6" x14ac:dyDescent="0.2">
      <c r="A93" s="323"/>
      <c r="B93" s="324"/>
      <c r="C93" s="324"/>
      <c r="D93" s="325"/>
      <c r="E93" s="326"/>
      <c r="F93" s="327"/>
    </row>
    <row r="94" spans="1:6" x14ac:dyDescent="0.2">
      <c r="A94" s="330"/>
      <c r="B94" s="331"/>
      <c r="C94" s="324"/>
      <c r="D94" s="325"/>
      <c r="E94" s="326"/>
      <c r="F94" s="327"/>
    </row>
    <row r="95" spans="1:6" x14ac:dyDescent="0.2">
      <c r="A95" s="323"/>
      <c r="B95" s="324"/>
      <c r="C95" s="324"/>
      <c r="D95" s="325"/>
      <c r="E95" s="326"/>
      <c r="F95" s="327"/>
    </row>
    <row r="96" spans="1:6" x14ac:dyDescent="0.2">
      <c r="A96" s="323"/>
      <c r="B96" s="324"/>
      <c r="C96" s="324"/>
      <c r="D96" s="325"/>
      <c r="E96" s="326"/>
      <c r="F96" s="327"/>
    </row>
    <row r="97" spans="1:6" x14ac:dyDescent="0.2">
      <c r="A97" s="323"/>
      <c r="B97" s="324"/>
      <c r="C97" s="324"/>
      <c r="D97" s="325"/>
      <c r="E97" s="326"/>
      <c r="F97" s="327"/>
    </row>
    <row r="98" spans="1:6" x14ac:dyDescent="0.2">
      <c r="A98" s="323"/>
      <c r="B98" s="324"/>
      <c r="C98" s="324"/>
      <c r="D98" s="325"/>
      <c r="E98" s="326"/>
      <c r="F98" s="327"/>
    </row>
    <row r="99" spans="1:6" ht="17.25" x14ac:dyDescent="0.2">
      <c r="A99" s="344"/>
      <c r="B99" s="324"/>
      <c r="C99" s="363"/>
      <c r="D99" s="325"/>
      <c r="E99" s="326"/>
      <c r="F99" s="327"/>
    </row>
    <row r="100" spans="1:6" ht="17.25" x14ac:dyDescent="0.2">
      <c r="A100" s="323"/>
      <c r="B100" s="346"/>
      <c r="C100" s="363"/>
      <c r="D100" s="347"/>
      <c r="E100" s="348"/>
      <c r="F100" s="327"/>
    </row>
    <row r="101" spans="1:6" ht="17.25" x14ac:dyDescent="0.2">
      <c r="A101" s="344"/>
      <c r="B101" s="346"/>
      <c r="C101" s="363"/>
      <c r="D101" s="347"/>
      <c r="E101" s="348"/>
      <c r="F101" s="327"/>
    </row>
    <row r="102" spans="1:6" ht="17.25" x14ac:dyDescent="0.2">
      <c r="A102" s="344"/>
      <c r="B102" s="346"/>
      <c r="C102" s="363"/>
      <c r="D102" s="347"/>
      <c r="E102" s="348"/>
      <c r="F102" s="327"/>
    </row>
    <row r="103" spans="1:6" ht="17.25" x14ac:dyDescent="0.2">
      <c r="A103" s="344"/>
      <c r="B103" s="346"/>
      <c r="C103" s="363"/>
      <c r="D103" s="347"/>
      <c r="E103" s="348"/>
      <c r="F103" s="327"/>
    </row>
    <row r="104" spans="1:6" ht="17.25" x14ac:dyDescent="0.2">
      <c r="A104" s="344"/>
      <c r="B104" s="346"/>
      <c r="C104" s="363"/>
      <c r="D104" s="347"/>
      <c r="E104" s="348"/>
      <c r="F104" s="327"/>
    </row>
    <row r="105" spans="1:6" ht="17.25" x14ac:dyDescent="0.2">
      <c r="A105" s="344"/>
      <c r="B105" s="346"/>
      <c r="C105" s="363"/>
      <c r="D105" s="347"/>
      <c r="E105" s="348"/>
      <c r="F105" s="327"/>
    </row>
    <row r="106" spans="1:6" ht="17.25" x14ac:dyDescent="0.2">
      <c r="A106" s="344"/>
      <c r="B106" s="346"/>
      <c r="C106" s="363"/>
      <c r="D106" s="347"/>
      <c r="E106" s="348"/>
      <c r="F106" s="327"/>
    </row>
    <row r="107" spans="1:6" ht="17.25" x14ac:dyDescent="0.2">
      <c r="A107" s="344"/>
      <c r="B107" s="346"/>
      <c r="C107" s="363"/>
      <c r="D107" s="347"/>
      <c r="E107" s="348"/>
      <c r="F107" s="327"/>
    </row>
    <row r="108" spans="1:6" ht="17.25" x14ac:dyDescent="0.2">
      <c r="A108" s="323"/>
      <c r="B108" s="346"/>
      <c r="C108" s="363"/>
      <c r="D108" s="347"/>
      <c r="E108" s="348"/>
      <c r="F108" s="327"/>
    </row>
    <row r="109" spans="1:6" ht="17.25" x14ac:dyDescent="0.2">
      <c r="A109" s="344"/>
      <c r="B109" s="346"/>
      <c r="C109" s="364"/>
      <c r="D109" s="347"/>
      <c r="E109" s="348"/>
      <c r="F109" s="349"/>
    </row>
    <row r="110" spans="1:6" ht="17.25" x14ac:dyDescent="0.2">
      <c r="A110" s="344"/>
      <c r="B110" s="346"/>
      <c r="C110" s="364"/>
      <c r="D110" s="347"/>
      <c r="E110" s="348"/>
      <c r="F110" s="349"/>
    </row>
    <row r="111" spans="1:6" ht="17.25" x14ac:dyDescent="0.2">
      <c r="A111" s="344"/>
      <c r="B111" s="346"/>
      <c r="C111" s="364"/>
      <c r="D111" s="347"/>
      <c r="E111" s="348"/>
      <c r="F111" s="349"/>
    </row>
    <row r="112" spans="1:6" ht="17.25" x14ac:dyDescent="0.2">
      <c r="A112" s="344"/>
      <c r="B112" s="346"/>
      <c r="C112" s="364"/>
      <c r="D112" s="347"/>
      <c r="E112" s="348"/>
      <c r="F112" s="349"/>
    </row>
    <row r="113" spans="1:6" ht="17.25" x14ac:dyDescent="0.2">
      <c r="A113" s="344"/>
      <c r="B113" s="346"/>
      <c r="C113" s="364"/>
      <c r="D113" s="347"/>
      <c r="E113" s="348"/>
      <c r="F113" s="349"/>
    </row>
    <row r="114" spans="1:6" ht="17.25" x14ac:dyDescent="0.2">
      <c r="A114" s="344"/>
      <c r="B114" s="346"/>
      <c r="C114" s="364"/>
      <c r="D114" s="347"/>
      <c r="E114" s="348"/>
      <c r="F114" s="349"/>
    </row>
    <row r="115" spans="1:6" ht="18.75" thickBot="1" x14ac:dyDescent="0.25">
      <c r="A115" s="366"/>
      <c r="B115" s="367"/>
      <c r="C115" s="368"/>
      <c r="D115" s="369"/>
      <c r="E115" s="370"/>
      <c r="F115" s="382"/>
    </row>
    <row r="116" spans="1:6" ht="18.75" thickTop="1" x14ac:dyDescent="0.2">
      <c r="A116" s="366"/>
      <c r="B116" s="367"/>
      <c r="C116" s="368"/>
      <c r="D116" s="369"/>
      <c r="E116" s="370"/>
      <c r="F116" s="381"/>
    </row>
    <row r="117" spans="1:6" ht="18.75" thickBot="1" x14ac:dyDescent="0.25">
      <c r="A117" s="371"/>
      <c r="B117" s="372"/>
      <c r="C117" s="373"/>
      <c r="D117" s="374"/>
      <c r="E117" s="375"/>
      <c r="F117" s="384"/>
    </row>
    <row r="118" spans="1:6" ht="18" x14ac:dyDescent="0.2">
      <c r="A118" s="371"/>
      <c r="B118" s="372"/>
      <c r="C118" s="373"/>
      <c r="D118" s="374"/>
      <c r="E118" s="375"/>
      <c r="F118" s="383"/>
    </row>
    <row r="119" spans="1:6" ht="18.75" thickBot="1" x14ac:dyDescent="0.25">
      <c r="A119" s="376"/>
      <c r="B119" s="377"/>
      <c r="C119" s="377"/>
      <c r="D119" s="378"/>
      <c r="E119" s="379"/>
      <c r="F119" s="380"/>
    </row>
    <row r="121" spans="1:6" x14ac:dyDescent="0.2">
      <c r="A121" s="355">
        <v>8</v>
      </c>
      <c r="B121" s="357" t="s">
        <v>690</v>
      </c>
      <c r="C121" s="342"/>
      <c r="D121" s="325"/>
      <c r="E121" s="326"/>
      <c r="F121" s="327"/>
    </row>
    <row r="122" spans="1:6" x14ac:dyDescent="0.2">
      <c r="A122" s="332"/>
      <c r="B122" s="357" t="s">
        <v>691</v>
      </c>
      <c r="C122" s="342"/>
      <c r="D122" s="325"/>
      <c r="E122" s="326"/>
      <c r="F122" s="327"/>
    </row>
    <row r="123" spans="1:6" x14ac:dyDescent="0.2">
      <c r="A123" s="386">
        <v>5</v>
      </c>
      <c r="B123" s="358" t="s">
        <v>720</v>
      </c>
      <c r="C123" s="342" t="s">
        <v>78</v>
      </c>
      <c r="D123" s="325"/>
      <c r="E123" s="326">
        <v>1.3</v>
      </c>
      <c r="F123" s="327">
        <f t="shared" ref="F123:F132" si="2">D123*E123</f>
        <v>0</v>
      </c>
    </row>
    <row r="124" spans="1:6" x14ac:dyDescent="0.2">
      <c r="A124" s="386">
        <v>6</v>
      </c>
      <c r="B124" s="358" t="s">
        <v>721</v>
      </c>
      <c r="C124" s="342" t="s">
        <v>22</v>
      </c>
      <c r="D124" s="325"/>
      <c r="E124" s="326">
        <v>0.59</v>
      </c>
      <c r="F124" s="327">
        <f t="shared" si="2"/>
        <v>0</v>
      </c>
    </row>
    <row r="125" spans="1:6" x14ac:dyDescent="0.2">
      <c r="A125" s="386">
        <v>7</v>
      </c>
      <c r="B125" s="358" t="s">
        <v>722</v>
      </c>
      <c r="C125" s="342" t="s">
        <v>22</v>
      </c>
      <c r="D125" s="325"/>
      <c r="E125" s="326">
        <v>2.9</v>
      </c>
      <c r="F125" s="327">
        <f t="shared" si="2"/>
        <v>0</v>
      </c>
    </row>
    <row r="126" spans="1:6" x14ac:dyDescent="0.2">
      <c r="A126" s="386">
        <v>8</v>
      </c>
      <c r="B126" s="358" t="s">
        <v>723</v>
      </c>
      <c r="C126" s="342" t="s">
        <v>22</v>
      </c>
      <c r="D126" s="325"/>
      <c r="E126" s="326">
        <v>2.9</v>
      </c>
      <c r="F126" s="327">
        <f t="shared" si="2"/>
        <v>0</v>
      </c>
    </row>
    <row r="127" spans="1:6" x14ac:dyDescent="0.2">
      <c r="A127" s="386">
        <v>13</v>
      </c>
      <c r="B127" s="358" t="s">
        <v>724</v>
      </c>
      <c r="C127" s="342" t="s">
        <v>22</v>
      </c>
      <c r="D127" s="325"/>
      <c r="E127" s="326">
        <v>0.4</v>
      </c>
      <c r="F127" s="327">
        <f t="shared" si="2"/>
        <v>0</v>
      </c>
    </row>
    <row r="128" spans="1:6" x14ac:dyDescent="0.2">
      <c r="A128" s="386">
        <v>14</v>
      </c>
      <c r="B128" s="358" t="s">
        <v>725</v>
      </c>
      <c r="C128" s="342" t="s">
        <v>22</v>
      </c>
      <c r="D128" s="325"/>
      <c r="E128" s="326">
        <v>0.6</v>
      </c>
      <c r="F128" s="327">
        <f t="shared" si="2"/>
        <v>0</v>
      </c>
    </row>
    <row r="129" spans="1:6" x14ac:dyDescent="0.2">
      <c r="A129" s="386">
        <v>15</v>
      </c>
      <c r="B129" s="358" t="s">
        <v>727</v>
      </c>
      <c r="C129" s="342" t="s">
        <v>22</v>
      </c>
      <c r="D129" s="325"/>
      <c r="E129" s="326">
        <v>0.5</v>
      </c>
      <c r="F129" s="327">
        <f t="shared" si="2"/>
        <v>0</v>
      </c>
    </row>
    <row r="130" spans="1:6" x14ac:dyDescent="0.2">
      <c r="A130" s="386">
        <v>16</v>
      </c>
      <c r="B130" s="358" t="s">
        <v>728</v>
      </c>
      <c r="C130" s="342" t="s">
        <v>78</v>
      </c>
      <c r="D130" s="325"/>
      <c r="E130" s="326">
        <v>3.5</v>
      </c>
      <c r="F130" s="327">
        <f t="shared" si="2"/>
        <v>0</v>
      </c>
    </row>
    <row r="131" spans="1:6" x14ac:dyDescent="0.2">
      <c r="A131" s="386">
        <v>17</v>
      </c>
      <c r="B131" s="358" t="s">
        <v>729</v>
      </c>
      <c r="C131" s="342" t="s">
        <v>78</v>
      </c>
      <c r="D131" s="325"/>
      <c r="E131" s="326">
        <v>3</v>
      </c>
      <c r="F131" s="327">
        <f t="shared" si="2"/>
        <v>0</v>
      </c>
    </row>
    <row r="132" spans="1:6" x14ac:dyDescent="0.2">
      <c r="A132" s="386">
        <v>18</v>
      </c>
      <c r="B132" s="358" t="s">
        <v>726</v>
      </c>
      <c r="C132" s="342" t="s">
        <v>22</v>
      </c>
      <c r="D132" s="325"/>
      <c r="E132" s="326">
        <v>80</v>
      </c>
      <c r="F132" s="327">
        <f t="shared" si="2"/>
        <v>0</v>
      </c>
    </row>
    <row r="133" spans="1:6" x14ac:dyDescent="0.2">
      <c r="A133" s="332"/>
      <c r="B133" s="358"/>
      <c r="C133" s="342"/>
      <c r="D133" s="325"/>
      <c r="E133" s="326"/>
      <c r="F133" s="327"/>
    </row>
  </sheetData>
  <pageMargins left="0.7" right="0.7" top="0.75" bottom="0.75" header="0.3" footer="0.3"/>
  <pageSetup paperSize="9" scale="91" orientation="portrait" horizontalDpi="4294967293" r:id="rId1"/>
  <rowBreaks count="1" manualBreakCount="1">
    <brk id="118"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8"/>
  <sheetViews>
    <sheetView view="pageBreakPreview" zoomScaleNormal="100" zoomScaleSheetLayoutView="100" workbookViewId="0">
      <selection activeCell="G36" sqref="G36"/>
    </sheetView>
  </sheetViews>
  <sheetFormatPr defaultRowHeight="12.75" x14ac:dyDescent="0.15"/>
  <cols>
    <col min="1" max="1" width="5.390625" customWidth="1"/>
    <col min="2" max="2" width="33.578125" customWidth="1"/>
    <col min="3" max="3" width="1.48046875" customWidth="1"/>
    <col min="4" max="4" width="12.13671875" style="409" customWidth="1"/>
  </cols>
  <sheetData>
    <row r="1" spans="1:4" x14ac:dyDescent="0.15">
      <c r="A1" s="408" t="s">
        <v>739</v>
      </c>
    </row>
    <row r="3" spans="1:4" x14ac:dyDescent="0.15">
      <c r="A3" s="408" t="s">
        <v>740</v>
      </c>
    </row>
    <row r="5" spans="1:4" x14ac:dyDescent="0.15">
      <c r="A5" s="408" t="s">
        <v>759</v>
      </c>
    </row>
    <row r="6" spans="1:4" ht="13.5" thickBot="1" x14ac:dyDescent="0.2">
      <c r="A6" s="408"/>
    </row>
    <row r="7" spans="1:4" s="1" customFormat="1" ht="13.5" thickBot="1" x14ac:dyDescent="0.2">
      <c r="A7" s="422" t="s">
        <v>741</v>
      </c>
      <c r="B7" s="414" t="s">
        <v>742</v>
      </c>
      <c r="C7" s="418"/>
      <c r="D7" s="415" t="s">
        <v>743</v>
      </c>
    </row>
    <row r="8" spans="1:4" x14ac:dyDescent="0.15">
      <c r="A8" s="423"/>
      <c r="B8" s="106"/>
      <c r="C8" s="85"/>
      <c r="D8" s="410"/>
    </row>
    <row r="9" spans="1:4" x14ac:dyDescent="0.15">
      <c r="A9" s="423">
        <v>1</v>
      </c>
      <c r="B9" s="411" t="s">
        <v>745</v>
      </c>
      <c r="C9" s="419"/>
      <c r="D9" s="410"/>
    </row>
    <row r="10" spans="1:4" x14ac:dyDescent="0.15">
      <c r="A10" s="423"/>
      <c r="B10" s="411" t="s">
        <v>744</v>
      </c>
      <c r="C10" s="419"/>
      <c r="D10" s="410">
        <v>1940.89</v>
      </c>
    </row>
    <row r="11" spans="1:4" x14ac:dyDescent="0.15">
      <c r="A11" s="423"/>
      <c r="B11" s="106"/>
      <c r="C11" s="85"/>
      <c r="D11" s="410"/>
    </row>
    <row r="12" spans="1:4" x14ac:dyDescent="0.15">
      <c r="A12" s="423"/>
      <c r="B12" s="411" t="s">
        <v>746</v>
      </c>
      <c r="C12" s="419"/>
      <c r="D12" s="410"/>
    </row>
    <row r="13" spans="1:4" x14ac:dyDescent="0.15">
      <c r="A13" s="423">
        <v>2</v>
      </c>
      <c r="B13" s="411" t="s">
        <v>758</v>
      </c>
      <c r="C13" s="419"/>
      <c r="D13" s="410"/>
    </row>
    <row r="14" spans="1:4" x14ac:dyDescent="0.15">
      <c r="A14" s="423"/>
      <c r="B14" s="411" t="s">
        <v>747</v>
      </c>
      <c r="C14" s="419"/>
      <c r="D14" s="410">
        <v>2338.17</v>
      </c>
    </row>
    <row r="15" spans="1:4" x14ac:dyDescent="0.15">
      <c r="A15" s="423"/>
      <c r="B15" s="106"/>
      <c r="C15" s="85"/>
      <c r="D15" s="410"/>
    </row>
    <row r="16" spans="1:4" x14ac:dyDescent="0.15">
      <c r="A16" s="423">
        <v>3</v>
      </c>
      <c r="B16" s="411" t="s">
        <v>748</v>
      </c>
      <c r="C16" s="419"/>
      <c r="D16" s="410"/>
    </row>
    <row r="17" spans="1:4" x14ac:dyDescent="0.15">
      <c r="A17" s="423"/>
      <c r="B17" s="411" t="s">
        <v>749</v>
      </c>
      <c r="C17" s="419"/>
      <c r="D17" s="410">
        <v>1156.04</v>
      </c>
    </row>
    <row r="18" spans="1:4" x14ac:dyDescent="0.15">
      <c r="A18" s="423"/>
      <c r="B18" s="106"/>
      <c r="C18" s="85"/>
      <c r="D18" s="410"/>
    </row>
    <row r="19" spans="1:4" x14ac:dyDescent="0.15">
      <c r="A19" s="423">
        <v>4</v>
      </c>
      <c r="B19" s="411" t="s">
        <v>750</v>
      </c>
      <c r="C19" s="419"/>
      <c r="D19" s="410"/>
    </row>
    <row r="20" spans="1:4" x14ac:dyDescent="0.15">
      <c r="A20" s="423"/>
      <c r="B20" s="411" t="s">
        <v>751</v>
      </c>
      <c r="C20" s="419"/>
      <c r="D20" s="410">
        <v>226.8</v>
      </c>
    </row>
    <row r="21" spans="1:4" x14ac:dyDescent="0.15">
      <c r="A21" s="423"/>
      <c r="B21" s="106"/>
      <c r="C21" s="85"/>
      <c r="D21" s="410"/>
    </row>
    <row r="22" spans="1:4" x14ac:dyDescent="0.15">
      <c r="A22" s="423"/>
      <c r="B22" s="411" t="s">
        <v>752</v>
      </c>
      <c r="C22" s="419"/>
      <c r="D22" s="410"/>
    </row>
    <row r="23" spans="1:4" x14ac:dyDescent="0.15">
      <c r="A23" s="423">
        <v>5</v>
      </c>
      <c r="B23" s="411" t="s">
        <v>753</v>
      </c>
      <c r="C23" s="419"/>
      <c r="D23" s="410"/>
    </row>
    <row r="24" spans="1:4" x14ac:dyDescent="0.15">
      <c r="A24" s="423"/>
      <c r="B24" s="411" t="s">
        <v>754</v>
      </c>
      <c r="C24" s="419"/>
      <c r="D24" s="410"/>
    </row>
    <row r="25" spans="1:4" x14ac:dyDescent="0.15">
      <c r="A25" s="423"/>
      <c r="B25" s="411" t="s">
        <v>755</v>
      </c>
      <c r="C25" s="419"/>
      <c r="D25" s="410">
        <v>1051</v>
      </c>
    </row>
    <row r="26" spans="1:4" x14ac:dyDescent="0.15">
      <c r="A26" s="423"/>
      <c r="B26" s="106"/>
      <c r="C26" s="85"/>
      <c r="D26" s="410"/>
    </row>
    <row r="27" spans="1:4" x14ac:dyDescent="0.15">
      <c r="A27" s="423">
        <v>6</v>
      </c>
      <c r="B27" s="411" t="s">
        <v>756</v>
      </c>
      <c r="C27" s="419"/>
      <c r="D27" s="410"/>
    </row>
    <row r="28" spans="1:4" x14ac:dyDescent="0.15">
      <c r="A28" s="423"/>
      <c r="B28" s="411" t="s">
        <v>757</v>
      </c>
      <c r="C28" s="419"/>
      <c r="D28" s="410">
        <v>94.29</v>
      </c>
    </row>
    <row r="29" spans="1:4" x14ac:dyDescent="0.15">
      <c r="A29" s="423"/>
      <c r="B29" s="411"/>
      <c r="C29" s="419"/>
      <c r="D29" s="410"/>
    </row>
    <row r="30" spans="1:4" x14ac:dyDescent="0.15">
      <c r="A30" s="423"/>
      <c r="B30" s="411"/>
      <c r="C30" s="419"/>
      <c r="D30" s="410"/>
    </row>
    <row r="31" spans="1:4" x14ac:dyDescent="0.15">
      <c r="A31" s="423"/>
      <c r="B31" s="411"/>
      <c r="C31" s="419"/>
      <c r="D31" s="410"/>
    </row>
    <row r="32" spans="1:4" x14ac:dyDescent="0.15">
      <c r="A32" s="423"/>
      <c r="B32" s="411"/>
      <c r="C32" s="419"/>
      <c r="D32" s="410"/>
    </row>
    <row r="33" spans="1:4" x14ac:dyDescent="0.15">
      <c r="A33" s="423"/>
      <c r="B33" s="411"/>
      <c r="C33" s="419"/>
      <c r="D33" s="410"/>
    </row>
    <row r="34" spans="1:4" x14ac:dyDescent="0.15">
      <c r="A34" s="423"/>
      <c r="B34" s="411"/>
      <c r="C34" s="419"/>
      <c r="D34" s="410"/>
    </row>
    <row r="35" spans="1:4" x14ac:dyDescent="0.15">
      <c r="A35" s="423"/>
      <c r="B35" s="106"/>
      <c r="C35" s="85"/>
      <c r="D35" s="410"/>
    </row>
    <row r="36" spans="1:4" s="1" customFormat="1" ht="13.5" thickBot="1" x14ac:dyDescent="0.2">
      <c r="A36" s="424"/>
      <c r="B36" s="416" t="s">
        <v>700</v>
      </c>
      <c r="C36" s="420"/>
      <c r="D36" s="417">
        <f>SUM(D9:D35)</f>
        <v>6807.1900000000005</v>
      </c>
    </row>
    <row r="37" spans="1:4" ht="13.5" thickTop="1" x14ac:dyDescent="0.15">
      <c r="A37" s="423"/>
      <c r="B37" s="106"/>
      <c r="C37" s="85"/>
      <c r="D37" s="410"/>
    </row>
    <row r="38" spans="1:4" ht="13.5" thickBot="1" x14ac:dyDescent="0.2">
      <c r="A38" s="425"/>
      <c r="B38" s="412"/>
      <c r="C38" s="421"/>
      <c r="D38" s="413"/>
    </row>
  </sheetData>
  <pageMargins left="0.7" right="0.7" top="0.75" bottom="0.75" header="0.3" footer="0.3"/>
  <pageSetup paperSize="9"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6"/>
  <sheetViews>
    <sheetView view="pageBreakPreview" zoomScale="98" zoomScaleNormal="100" zoomScaleSheetLayoutView="98" workbookViewId="0">
      <selection activeCell="K9" sqref="K9"/>
    </sheetView>
  </sheetViews>
  <sheetFormatPr defaultRowHeight="12.75" x14ac:dyDescent="0.15"/>
  <cols>
    <col min="1" max="1" width="45.84765625" customWidth="1"/>
    <col min="4" max="4" width="12.80859375" customWidth="1"/>
    <col min="5" max="5" width="14.15625" customWidth="1"/>
  </cols>
  <sheetData>
    <row r="1" spans="1:5" x14ac:dyDescent="0.15">
      <c r="A1" t="s">
        <v>611</v>
      </c>
    </row>
    <row r="3" spans="1:5" x14ac:dyDescent="0.15">
      <c r="A3" s="408" t="s">
        <v>742</v>
      </c>
      <c r="B3" t="s">
        <v>804</v>
      </c>
      <c r="C3" t="s">
        <v>805</v>
      </c>
      <c r="D3" t="s">
        <v>806</v>
      </c>
      <c r="E3" t="s">
        <v>807</v>
      </c>
    </row>
    <row r="5" spans="1:5" x14ac:dyDescent="0.15">
      <c r="A5" t="s">
        <v>808</v>
      </c>
      <c r="B5" t="s">
        <v>809</v>
      </c>
      <c r="C5">
        <v>110</v>
      </c>
      <c r="D5" s="444">
        <v>7</v>
      </c>
      <c r="E5" s="444">
        <f>C5*D5</f>
        <v>770</v>
      </c>
    </row>
    <row r="6" spans="1:5" x14ac:dyDescent="0.15">
      <c r="D6" s="444"/>
      <c r="E6" s="444"/>
    </row>
    <row r="7" spans="1:5" x14ac:dyDescent="0.15">
      <c r="A7" s="408" t="s">
        <v>851</v>
      </c>
      <c r="B7" s="408" t="s">
        <v>697</v>
      </c>
      <c r="D7" s="444"/>
      <c r="E7" s="444">
        <v>200</v>
      </c>
    </row>
    <row r="8" spans="1:5" x14ac:dyDescent="0.15">
      <c r="D8" s="444"/>
      <c r="E8" s="444"/>
    </row>
    <row r="9" spans="1:5" x14ac:dyDescent="0.15">
      <c r="A9" s="408" t="s">
        <v>843</v>
      </c>
      <c r="B9" t="s">
        <v>811</v>
      </c>
      <c r="C9">
        <v>35</v>
      </c>
      <c r="D9" s="444">
        <v>7</v>
      </c>
      <c r="E9" s="444">
        <f t="shared" ref="E9:E17" si="0">C9*D9</f>
        <v>245</v>
      </c>
    </row>
    <row r="10" spans="1:5" x14ac:dyDescent="0.15">
      <c r="E10" s="444">
        <f t="shared" si="0"/>
        <v>0</v>
      </c>
    </row>
    <row r="11" spans="1:5" x14ac:dyDescent="0.15">
      <c r="A11" s="408" t="s">
        <v>844</v>
      </c>
      <c r="B11" t="s">
        <v>811</v>
      </c>
      <c r="C11">
        <v>13</v>
      </c>
      <c r="D11" s="444">
        <v>15</v>
      </c>
      <c r="E11" s="444">
        <f t="shared" si="0"/>
        <v>195</v>
      </c>
    </row>
    <row r="12" spans="1:5" x14ac:dyDescent="0.15">
      <c r="E12" s="444">
        <f t="shared" si="0"/>
        <v>0</v>
      </c>
    </row>
    <row r="13" spans="1:5" x14ac:dyDescent="0.15">
      <c r="A13" s="408" t="s">
        <v>845</v>
      </c>
      <c r="B13" t="s">
        <v>809</v>
      </c>
      <c r="C13">
        <v>35</v>
      </c>
      <c r="D13">
        <v>20</v>
      </c>
      <c r="E13" s="444">
        <f t="shared" si="0"/>
        <v>700</v>
      </c>
    </row>
    <row r="14" spans="1:5" x14ac:dyDescent="0.15">
      <c r="E14" s="444">
        <f t="shared" si="0"/>
        <v>0</v>
      </c>
    </row>
    <row r="15" spans="1:5" x14ac:dyDescent="0.15">
      <c r="A15" s="408" t="s">
        <v>846</v>
      </c>
      <c r="B15" t="s">
        <v>809</v>
      </c>
      <c r="C15">
        <v>21</v>
      </c>
      <c r="D15" s="444">
        <v>10</v>
      </c>
      <c r="E15" s="444">
        <f t="shared" si="0"/>
        <v>210</v>
      </c>
    </row>
    <row r="16" spans="1:5" x14ac:dyDescent="0.15">
      <c r="E16" s="444">
        <f t="shared" si="0"/>
        <v>0</v>
      </c>
    </row>
    <row r="17" spans="1:5" x14ac:dyDescent="0.15">
      <c r="A17" s="408" t="s">
        <v>847</v>
      </c>
      <c r="B17" t="s">
        <v>811</v>
      </c>
      <c r="C17">
        <v>275</v>
      </c>
      <c r="D17">
        <v>25</v>
      </c>
      <c r="E17" s="444">
        <f t="shared" si="0"/>
        <v>6875</v>
      </c>
    </row>
    <row r="18" spans="1:5" x14ac:dyDescent="0.15">
      <c r="E18" s="444"/>
    </row>
    <row r="19" spans="1:5" x14ac:dyDescent="0.15">
      <c r="A19" s="408" t="s">
        <v>849</v>
      </c>
      <c r="B19" t="s">
        <v>809</v>
      </c>
      <c r="C19">
        <v>345</v>
      </c>
      <c r="D19">
        <v>0.5</v>
      </c>
      <c r="E19" s="444">
        <f>C19*D19</f>
        <v>172.5</v>
      </c>
    </row>
    <row r="20" spans="1:5" x14ac:dyDescent="0.15">
      <c r="E20" s="444"/>
    </row>
    <row r="21" spans="1:5" x14ac:dyDescent="0.15">
      <c r="A21" s="408" t="s">
        <v>83</v>
      </c>
      <c r="B21" t="s">
        <v>809</v>
      </c>
      <c r="C21">
        <v>345</v>
      </c>
      <c r="D21">
        <v>0.2</v>
      </c>
      <c r="E21" s="444">
        <f>C21*D21</f>
        <v>69</v>
      </c>
    </row>
    <row r="22" spans="1:5" x14ac:dyDescent="0.15">
      <c r="E22" s="444"/>
    </row>
    <row r="23" spans="1:5" x14ac:dyDescent="0.15">
      <c r="A23" s="408" t="s">
        <v>848</v>
      </c>
      <c r="B23" t="s">
        <v>811</v>
      </c>
      <c r="C23">
        <v>45</v>
      </c>
      <c r="D23">
        <v>15</v>
      </c>
      <c r="E23" s="444">
        <f>C23*D23</f>
        <v>675</v>
      </c>
    </row>
    <row r="24" spans="1:5" x14ac:dyDescent="0.15">
      <c r="E24" s="444"/>
    </row>
    <row r="25" spans="1:5" x14ac:dyDescent="0.15">
      <c r="A25" s="408" t="s">
        <v>850</v>
      </c>
      <c r="B25" t="s">
        <v>809</v>
      </c>
      <c r="C25">
        <v>345</v>
      </c>
      <c r="D25">
        <v>0.2</v>
      </c>
      <c r="E25" s="444">
        <f>C25*D25</f>
        <v>69</v>
      </c>
    </row>
    <row r="26" spans="1:5" x14ac:dyDescent="0.15">
      <c r="E26" s="444"/>
    </row>
    <row r="27" spans="1:5" x14ac:dyDescent="0.15">
      <c r="E27" s="444"/>
    </row>
    <row r="28" spans="1:5" x14ac:dyDescent="0.15">
      <c r="E28" s="444"/>
    </row>
    <row r="29" spans="1:5" x14ac:dyDescent="0.15">
      <c r="E29" s="444"/>
    </row>
    <row r="30" spans="1:5" x14ac:dyDescent="0.15">
      <c r="E30" s="444"/>
    </row>
    <row r="31" spans="1:5" x14ac:dyDescent="0.15">
      <c r="E31" s="444"/>
    </row>
    <row r="32" spans="1:5" x14ac:dyDescent="0.15">
      <c r="E32" s="444"/>
    </row>
    <row r="33" spans="5:5" x14ac:dyDescent="0.15">
      <c r="E33" s="444"/>
    </row>
    <row r="34" spans="5:5" x14ac:dyDescent="0.15">
      <c r="E34" s="444"/>
    </row>
    <row r="35" spans="5:5" x14ac:dyDescent="0.15">
      <c r="E35" s="444"/>
    </row>
    <row r="36" spans="5:5" x14ac:dyDescent="0.15">
      <c r="E36" s="444"/>
    </row>
    <row r="37" spans="5:5" x14ac:dyDescent="0.15">
      <c r="E37" s="444"/>
    </row>
    <row r="38" spans="5:5" x14ac:dyDescent="0.15">
      <c r="E38" s="444"/>
    </row>
    <row r="39" spans="5:5" x14ac:dyDescent="0.15">
      <c r="E39" s="444"/>
    </row>
    <row r="40" spans="5:5" x14ac:dyDescent="0.15">
      <c r="E40" s="444"/>
    </row>
    <row r="41" spans="5:5" x14ac:dyDescent="0.15">
      <c r="E41" s="444"/>
    </row>
    <row r="42" spans="5:5" x14ac:dyDescent="0.15">
      <c r="E42" s="444"/>
    </row>
    <row r="43" spans="5:5" x14ac:dyDescent="0.15">
      <c r="E43" s="444"/>
    </row>
    <row r="44" spans="5:5" x14ac:dyDescent="0.15">
      <c r="E44" s="444"/>
    </row>
    <row r="45" spans="5:5" x14ac:dyDescent="0.15">
      <c r="E45" s="444"/>
    </row>
    <row r="46" spans="5:5" x14ac:dyDescent="0.15">
      <c r="E46" s="444"/>
    </row>
    <row r="47" spans="5:5" x14ac:dyDescent="0.15">
      <c r="E47" s="444"/>
    </row>
    <row r="48" spans="5:5" x14ac:dyDescent="0.15">
      <c r="E48" s="444"/>
    </row>
    <row r="49" spans="1:5" x14ac:dyDescent="0.15">
      <c r="E49" s="444"/>
    </row>
    <row r="50" spans="1:5" x14ac:dyDescent="0.15">
      <c r="E50" s="444"/>
    </row>
    <row r="51" spans="1:5" x14ac:dyDescent="0.15">
      <c r="E51" s="444"/>
    </row>
    <row r="52" spans="1:5" x14ac:dyDescent="0.15">
      <c r="E52" s="444"/>
    </row>
    <row r="53" spans="1:5" x14ac:dyDescent="0.15">
      <c r="E53" s="444"/>
    </row>
    <row r="54" spans="1:5" x14ac:dyDescent="0.15">
      <c r="E54" s="444"/>
    </row>
    <row r="55" spans="1:5" x14ac:dyDescent="0.15">
      <c r="E55" s="444"/>
    </row>
    <row r="56" spans="1:5" x14ac:dyDescent="0.15">
      <c r="E56" s="444"/>
    </row>
    <row r="57" spans="1:5" x14ac:dyDescent="0.15">
      <c r="E57" s="444"/>
    </row>
    <row r="58" spans="1:5" x14ac:dyDescent="0.15">
      <c r="A58" s="408" t="s">
        <v>59</v>
      </c>
      <c r="E58" s="444">
        <f>SUM(E5:E57)</f>
        <v>10180.5</v>
      </c>
    </row>
    <row r="59" spans="1:5" x14ac:dyDescent="0.15">
      <c r="E59" s="444"/>
    </row>
    <row r="60" spans="1:5" x14ac:dyDescent="0.15">
      <c r="E60" s="444"/>
    </row>
    <row r="61" spans="1:5" x14ac:dyDescent="0.15">
      <c r="E61" s="444"/>
    </row>
    <row r="62" spans="1:5" x14ac:dyDescent="0.15">
      <c r="A62" s="110" t="s">
        <v>106</v>
      </c>
      <c r="E62" s="444"/>
    </row>
    <row r="63" spans="1:5" x14ac:dyDescent="0.15">
      <c r="E63" s="444"/>
    </row>
    <row r="64" spans="1:5" x14ac:dyDescent="0.15">
      <c r="A64" s="408" t="s">
        <v>742</v>
      </c>
      <c r="B64" t="s">
        <v>804</v>
      </c>
      <c r="C64" t="s">
        <v>805</v>
      </c>
      <c r="D64" t="s">
        <v>806</v>
      </c>
      <c r="E64" s="445" t="s">
        <v>853</v>
      </c>
    </row>
    <row r="65" spans="1:5" x14ac:dyDescent="0.15">
      <c r="E65" s="444"/>
    </row>
    <row r="66" spans="1:5" x14ac:dyDescent="0.15">
      <c r="A66" s="408" t="s">
        <v>852</v>
      </c>
      <c r="B66" t="s">
        <v>809</v>
      </c>
      <c r="C66">
        <v>116</v>
      </c>
      <c r="D66" s="444">
        <v>20</v>
      </c>
      <c r="E66" s="444">
        <f>C66*D66</f>
        <v>2320</v>
      </c>
    </row>
    <row r="67" spans="1:5" x14ac:dyDescent="0.15">
      <c r="E67" s="444">
        <f>C67*D67</f>
        <v>0</v>
      </c>
    </row>
    <row r="68" spans="1:5" x14ac:dyDescent="0.15">
      <c r="A68" s="408" t="s">
        <v>854</v>
      </c>
      <c r="B68" t="s">
        <v>809</v>
      </c>
      <c r="C68">
        <v>148</v>
      </c>
      <c r="D68" s="444">
        <v>20</v>
      </c>
      <c r="E68" s="444">
        <f>C68*D68</f>
        <v>2960</v>
      </c>
    </row>
    <row r="69" spans="1:5" x14ac:dyDescent="0.15">
      <c r="E69" s="444"/>
    </row>
    <row r="70" spans="1:5" x14ac:dyDescent="0.15">
      <c r="A70" s="408" t="s">
        <v>855</v>
      </c>
      <c r="B70" t="s">
        <v>809</v>
      </c>
      <c r="C70">
        <v>118</v>
      </c>
      <c r="D70" s="444">
        <v>20</v>
      </c>
      <c r="E70" s="444">
        <f>C70*D70</f>
        <v>2360</v>
      </c>
    </row>
    <row r="71" spans="1:5" x14ac:dyDescent="0.15">
      <c r="E71" s="444"/>
    </row>
    <row r="72" spans="1:5" x14ac:dyDescent="0.15">
      <c r="A72" t="s">
        <v>815</v>
      </c>
      <c r="B72" t="s">
        <v>809</v>
      </c>
      <c r="C72">
        <v>59</v>
      </c>
      <c r="D72" s="444">
        <v>10</v>
      </c>
      <c r="E72" s="444">
        <f>C72*D72</f>
        <v>590</v>
      </c>
    </row>
    <row r="73" spans="1:5" x14ac:dyDescent="0.15">
      <c r="E73" s="444"/>
    </row>
    <row r="74" spans="1:5" x14ac:dyDescent="0.15">
      <c r="A74" s="408" t="s">
        <v>856</v>
      </c>
      <c r="B74" s="408" t="s">
        <v>22</v>
      </c>
      <c r="C74">
        <v>30</v>
      </c>
      <c r="D74">
        <v>4.5</v>
      </c>
      <c r="E74" s="444">
        <f>C74*D74</f>
        <v>135</v>
      </c>
    </row>
    <row r="75" spans="1:5" x14ac:dyDescent="0.15">
      <c r="E75" s="444"/>
    </row>
    <row r="76" spans="1:5" x14ac:dyDescent="0.15">
      <c r="A76" t="s">
        <v>816</v>
      </c>
      <c r="B76" t="s">
        <v>809</v>
      </c>
      <c r="C76">
        <v>78</v>
      </c>
      <c r="D76" s="444">
        <v>3</v>
      </c>
      <c r="E76" s="444">
        <f>C76*D76</f>
        <v>234</v>
      </c>
    </row>
    <row r="77" spans="1:5" x14ac:dyDescent="0.15">
      <c r="E77" s="444"/>
    </row>
    <row r="78" spans="1:5" x14ac:dyDescent="0.15">
      <c r="A78" t="s">
        <v>817</v>
      </c>
      <c r="B78" t="s">
        <v>809</v>
      </c>
      <c r="C78">
        <v>80</v>
      </c>
      <c r="D78" s="444">
        <v>8</v>
      </c>
      <c r="E78" s="444">
        <f>C78*D78</f>
        <v>640</v>
      </c>
    </row>
    <row r="79" spans="1:5" x14ac:dyDescent="0.15">
      <c r="E79" s="444"/>
    </row>
    <row r="80" spans="1:5" x14ac:dyDescent="0.15">
      <c r="A80" s="408" t="s">
        <v>819</v>
      </c>
      <c r="B80" t="s">
        <v>809</v>
      </c>
      <c r="C80">
        <v>78</v>
      </c>
      <c r="D80" s="444">
        <v>0.6</v>
      </c>
      <c r="E80" s="444">
        <f>C80*D80</f>
        <v>46.8</v>
      </c>
    </row>
    <row r="81" spans="1:5" x14ac:dyDescent="0.15">
      <c r="E81" s="444"/>
    </row>
    <row r="82" spans="1:5" x14ac:dyDescent="0.15">
      <c r="A82" t="s">
        <v>820</v>
      </c>
      <c r="B82" t="s">
        <v>811</v>
      </c>
      <c r="C82">
        <v>12</v>
      </c>
      <c r="D82" s="444">
        <v>25</v>
      </c>
      <c r="E82" s="444">
        <f>C82*D82</f>
        <v>300</v>
      </c>
    </row>
    <row r="83" spans="1:5" x14ac:dyDescent="0.15">
      <c r="E83" s="444"/>
    </row>
    <row r="84" spans="1:5" x14ac:dyDescent="0.15">
      <c r="A84" t="s">
        <v>821</v>
      </c>
      <c r="B84" t="s">
        <v>809</v>
      </c>
      <c r="C84">
        <v>742</v>
      </c>
      <c r="D84" s="444">
        <v>5.0999999999999996</v>
      </c>
      <c r="E84" s="444">
        <f>C84*D84</f>
        <v>3784.2</v>
      </c>
    </row>
    <row r="85" spans="1:5" x14ac:dyDescent="0.15">
      <c r="E85" s="444"/>
    </row>
    <row r="86" spans="1:5" x14ac:dyDescent="0.15">
      <c r="A86" t="s">
        <v>822</v>
      </c>
      <c r="B86" t="s">
        <v>809</v>
      </c>
      <c r="D86" s="444">
        <v>5.0999999999999996</v>
      </c>
      <c r="E86" s="444">
        <f>C86*D86</f>
        <v>0</v>
      </c>
    </row>
    <row r="87" spans="1:5" x14ac:dyDescent="0.15">
      <c r="E87" s="444">
        <f>C87*D87</f>
        <v>0</v>
      </c>
    </row>
    <row r="88" spans="1:5" x14ac:dyDescent="0.15">
      <c r="A88" t="s">
        <v>823</v>
      </c>
      <c r="B88" t="s">
        <v>809</v>
      </c>
      <c r="C88">
        <v>742</v>
      </c>
      <c r="D88" s="444">
        <v>4.2</v>
      </c>
      <c r="E88" s="444">
        <f>C88*D88</f>
        <v>3116.4</v>
      </c>
    </row>
    <row r="89" spans="1:5" x14ac:dyDescent="0.15">
      <c r="E89" s="444"/>
    </row>
    <row r="90" spans="1:5" x14ac:dyDescent="0.15">
      <c r="A90" t="s">
        <v>824</v>
      </c>
      <c r="B90" t="s">
        <v>809</v>
      </c>
      <c r="C90">
        <v>78</v>
      </c>
      <c r="D90" s="444">
        <v>4.2</v>
      </c>
      <c r="E90" s="444">
        <f>C90*D90</f>
        <v>327.60000000000002</v>
      </c>
    </row>
    <row r="91" spans="1:5" x14ac:dyDescent="0.15">
      <c r="E91" s="444"/>
    </row>
    <row r="92" spans="1:5" x14ac:dyDescent="0.15">
      <c r="A92" t="s">
        <v>825</v>
      </c>
      <c r="E92" s="444"/>
    </row>
    <row r="93" spans="1:5" x14ac:dyDescent="0.15">
      <c r="A93" t="s">
        <v>826</v>
      </c>
      <c r="B93" t="s">
        <v>809</v>
      </c>
      <c r="D93" s="444">
        <v>4.2</v>
      </c>
      <c r="E93" s="444">
        <f>C93*D93</f>
        <v>0</v>
      </c>
    </row>
    <row r="94" spans="1:5" x14ac:dyDescent="0.15">
      <c r="E94" s="444"/>
    </row>
    <row r="95" spans="1:5" x14ac:dyDescent="0.15">
      <c r="A95" t="s">
        <v>827</v>
      </c>
      <c r="E95" s="444"/>
    </row>
    <row r="96" spans="1:5" x14ac:dyDescent="0.15">
      <c r="A96" t="s">
        <v>828</v>
      </c>
      <c r="B96" t="s">
        <v>809</v>
      </c>
      <c r="C96">
        <v>78</v>
      </c>
      <c r="D96">
        <v>8.5</v>
      </c>
      <c r="E96" s="444">
        <f>C96*D96</f>
        <v>663</v>
      </c>
    </row>
    <row r="97" spans="1:5" x14ac:dyDescent="0.15">
      <c r="E97" s="444"/>
    </row>
    <row r="98" spans="1:5" x14ac:dyDescent="0.15">
      <c r="A98" s="408" t="s">
        <v>857</v>
      </c>
      <c r="D98" s="444"/>
      <c r="E98" s="444"/>
    </row>
    <row r="99" spans="1:5" x14ac:dyDescent="0.15">
      <c r="A99" s="408" t="s">
        <v>858</v>
      </c>
      <c r="B99" t="s">
        <v>830</v>
      </c>
      <c r="C99">
        <v>17</v>
      </c>
      <c r="D99" s="444">
        <v>12</v>
      </c>
      <c r="E99" s="444">
        <f>C99*D99</f>
        <v>204</v>
      </c>
    </row>
    <row r="100" spans="1:5" x14ac:dyDescent="0.15">
      <c r="A100" s="408"/>
      <c r="E100" s="444"/>
    </row>
    <row r="101" spans="1:5" x14ac:dyDescent="0.15">
      <c r="A101" t="s">
        <v>831</v>
      </c>
      <c r="B101" t="s">
        <v>830</v>
      </c>
      <c r="C101">
        <v>17</v>
      </c>
      <c r="D101" s="444">
        <v>8.5</v>
      </c>
      <c r="E101" s="444">
        <f>C101*D101</f>
        <v>144.5</v>
      </c>
    </row>
    <row r="102" spans="1:5" x14ac:dyDescent="0.15">
      <c r="E102" s="444"/>
    </row>
    <row r="103" spans="1:5" x14ac:dyDescent="0.15">
      <c r="D103" s="444"/>
      <c r="E103" s="444"/>
    </row>
    <row r="104" spans="1:5" x14ac:dyDescent="0.15">
      <c r="E104" s="444"/>
    </row>
    <row r="105" spans="1:5" x14ac:dyDescent="0.15">
      <c r="D105" s="444"/>
      <c r="E105" s="444"/>
    </row>
    <row r="106" spans="1:5" x14ac:dyDescent="0.15">
      <c r="E106" s="444"/>
    </row>
    <row r="107" spans="1:5" x14ac:dyDescent="0.15">
      <c r="D107" s="444"/>
      <c r="E107" s="444"/>
    </row>
    <row r="108" spans="1:5" x14ac:dyDescent="0.15">
      <c r="E108" s="444"/>
    </row>
    <row r="109" spans="1:5" x14ac:dyDescent="0.15">
      <c r="D109" s="444"/>
      <c r="E109" s="444"/>
    </row>
    <row r="110" spans="1:5" x14ac:dyDescent="0.15">
      <c r="E110" s="444"/>
    </row>
    <row r="111" spans="1:5" x14ac:dyDescent="0.15">
      <c r="D111" s="444"/>
      <c r="E111" s="444"/>
    </row>
    <row r="112" spans="1:5" x14ac:dyDescent="0.15">
      <c r="E112" s="444"/>
    </row>
    <row r="113" spans="1:5" x14ac:dyDescent="0.15">
      <c r="E113" s="444"/>
    </row>
    <row r="114" spans="1:5" x14ac:dyDescent="0.15">
      <c r="E114" s="444"/>
    </row>
    <row r="115" spans="1:5" x14ac:dyDescent="0.15">
      <c r="D115" s="444"/>
      <c r="E115" s="444"/>
    </row>
    <row r="116" spans="1:5" x14ac:dyDescent="0.15">
      <c r="E116" s="444"/>
    </row>
    <row r="117" spans="1:5" x14ac:dyDescent="0.15">
      <c r="E117" s="444"/>
    </row>
    <row r="118" spans="1:5" x14ac:dyDescent="0.15">
      <c r="A118" s="408" t="s">
        <v>59</v>
      </c>
      <c r="E118" s="444">
        <f>SUM(E65:E117)</f>
        <v>17825.5</v>
      </c>
    </row>
    <row r="119" spans="1:5" x14ac:dyDescent="0.15">
      <c r="E119" s="444"/>
    </row>
    <row r="120" spans="1:5" x14ac:dyDescent="0.15">
      <c r="E120" s="444"/>
    </row>
    <row r="121" spans="1:5" x14ac:dyDescent="0.15">
      <c r="E121" s="444"/>
    </row>
    <row r="122" spans="1:5" x14ac:dyDescent="0.15">
      <c r="A122" s="408" t="s">
        <v>538</v>
      </c>
      <c r="E122" s="444"/>
    </row>
    <row r="123" spans="1:5" x14ac:dyDescent="0.15">
      <c r="E123" s="444"/>
    </row>
    <row r="124" spans="1:5" x14ac:dyDescent="0.15">
      <c r="E124" s="444"/>
    </row>
    <row r="125" spans="1:5" x14ac:dyDescent="0.15">
      <c r="E125" s="444">
        <f t="shared" ref="E125:E131" si="1">C125*D125</f>
        <v>0</v>
      </c>
    </row>
    <row r="126" spans="1:5" x14ac:dyDescent="0.15">
      <c r="A126" t="s">
        <v>834</v>
      </c>
      <c r="B126" t="s">
        <v>804</v>
      </c>
      <c r="C126" t="s">
        <v>805</v>
      </c>
      <c r="D126" t="s">
        <v>806</v>
      </c>
      <c r="E126" s="444" t="e">
        <f t="shared" si="1"/>
        <v>#VALUE!</v>
      </c>
    </row>
    <row r="127" spans="1:5" x14ac:dyDescent="0.15">
      <c r="E127" s="444">
        <f t="shared" si="1"/>
        <v>0</v>
      </c>
    </row>
    <row r="128" spans="1:5" x14ac:dyDescent="0.15">
      <c r="A128" t="s">
        <v>816</v>
      </c>
      <c r="B128" t="s">
        <v>809</v>
      </c>
      <c r="C128">
        <v>3</v>
      </c>
      <c r="E128" s="444">
        <f t="shared" si="1"/>
        <v>0</v>
      </c>
    </row>
    <row r="129" spans="1:5" x14ac:dyDescent="0.15">
      <c r="E129" s="444">
        <f t="shared" si="1"/>
        <v>0</v>
      </c>
    </row>
    <row r="130" spans="1:5" x14ac:dyDescent="0.15">
      <c r="A130" t="s">
        <v>817</v>
      </c>
      <c r="B130" t="s">
        <v>809</v>
      </c>
      <c r="C130">
        <v>37.9</v>
      </c>
      <c r="D130" s="444">
        <v>245146.08</v>
      </c>
      <c r="E130" s="444">
        <f t="shared" si="1"/>
        <v>9291036.432</v>
      </c>
    </row>
    <row r="131" spans="1:5" x14ac:dyDescent="0.15">
      <c r="E131" s="444">
        <f t="shared" si="1"/>
        <v>0</v>
      </c>
    </row>
    <row r="132" spans="1:5" x14ac:dyDescent="0.15">
      <c r="A132" t="s">
        <v>818</v>
      </c>
      <c r="B132" t="s">
        <v>809</v>
      </c>
      <c r="C132">
        <v>25.2</v>
      </c>
      <c r="D132" s="444">
        <v>143412.96</v>
      </c>
      <c r="E132" s="444">
        <f t="shared" ref="E132:E195" si="2">C132*D132</f>
        <v>3614006.5919999997</v>
      </c>
    </row>
    <row r="133" spans="1:5" x14ac:dyDescent="0.15">
      <c r="E133" s="444">
        <f t="shared" si="2"/>
        <v>0</v>
      </c>
    </row>
    <row r="134" spans="1:5" x14ac:dyDescent="0.15">
      <c r="A134" t="s">
        <v>819</v>
      </c>
      <c r="B134" t="s">
        <v>809</v>
      </c>
      <c r="C134">
        <v>37</v>
      </c>
      <c r="D134" s="444">
        <v>13583.26</v>
      </c>
      <c r="E134" s="444">
        <f t="shared" si="2"/>
        <v>502580.62</v>
      </c>
    </row>
    <row r="135" spans="1:5" x14ac:dyDescent="0.15">
      <c r="E135" s="444">
        <f t="shared" si="2"/>
        <v>0</v>
      </c>
    </row>
    <row r="136" spans="1:5" x14ac:dyDescent="0.15">
      <c r="A136" t="s">
        <v>820</v>
      </c>
      <c r="B136" t="s">
        <v>811</v>
      </c>
      <c r="C136">
        <v>6.3</v>
      </c>
      <c r="D136" s="444">
        <v>925575.84</v>
      </c>
      <c r="E136" s="444">
        <f t="shared" si="2"/>
        <v>5831127.7919999994</v>
      </c>
    </row>
    <row r="137" spans="1:5" x14ac:dyDescent="0.15">
      <c r="E137" s="444">
        <f t="shared" si="2"/>
        <v>0</v>
      </c>
    </row>
    <row r="138" spans="1:5" x14ac:dyDescent="0.15">
      <c r="A138" t="s">
        <v>835</v>
      </c>
      <c r="B138" t="s">
        <v>811</v>
      </c>
      <c r="C138">
        <v>2</v>
      </c>
      <c r="D138" s="444">
        <v>925575.84</v>
      </c>
      <c r="E138" s="444">
        <f t="shared" si="2"/>
        <v>1851151.68</v>
      </c>
    </row>
    <row r="139" spans="1:5" x14ac:dyDescent="0.15">
      <c r="E139" s="444">
        <f t="shared" si="2"/>
        <v>0</v>
      </c>
    </row>
    <row r="140" spans="1:5" x14ac:dyDescent="0.15">
      <c r="A140" t="s">
        <v>821</v>
      </c>
      <c r="B140" t="s">
        <v>809</v>
      </c>
      <c r="C140">
        <v>84.1</v>
      </c>
      <c r="D140" s="444">
        <v>71670.62</v>
      </c>
      <c r="E140" s="444">
        <f t="shared" si="2"/>
        <v>6027499.1419999991</v>
      </c>
    </row>
    <row r="141" spans="1:5" x14ac:dyDescent="0.15">
      <c r="E141" s="444">
        <f t="shared" si="2"/>
        <v>0</v>
      </c>
    </row>
    <row r="142" spans="1:5" x14ac:dyDescent="0.15">
      <c r="A142" t="s">
        <v>822</v>
      </c>
      <c r="B142" t="s">
        <v>809</v>
      </c>
      <c r="C142">
        <v>62.2</v>
      </c>
      <c r="D142" s="444">
        <v>71670.62</v>
      </c>
      <c r="E142" s="444">
        <f t="shared" si="2"/>
        <v>4457912.5640000002</v>
      </c>
    </row>
    <row r="143" spans="1:5" x14ac:dyDescent="0.15">
      <c r="E143" s="444">
        <f t="shared" si="2"/>
        <v>0</v>
      </c>
    </row>
    <row r="144" spans="1:5" x14ac:dyDescent="0.15">
      <c r="A144" t="s">
        <v>823</v>
      </c>
      <c r="B144" t="s">
        <v>809</v>
      </c>
      <c r="C144">
        <v>84.5</v>
      </c>
      <c r="D144" s="444">
        <v>91302.63</v>
      </c>
      <c r="E144" s="444">
        <f t="shared" si="2"/>
        <v>7715072.2350000003</v>
      </c>
    </row>
    <row r="145" spans="1:5" x14ac:dyDescent="0.15">
      <c r="E145" s="444">
        <f t="shared" si="2"/>
        <v>0</v>
      </c>
    </row>
    <row r="146" spans="1:5" x14ac:dyDescent="0.15">
      <c r="A146" t="s">
        <v>824</v>
      </c>
      <c r="B146" t="s">
        <v>809</v>
      </c>
      <c r="C146">
        <v>20.7</v>
      </c>
      <c r="D146" s="444">
        <v>124858.29</v>
      </c>
      <c r="E146" s="444">
        <f t="shared" si="2"/>
        <v>2584566.6029999997</v>
      </c>
    </row>
    <row r="147" spans="1:5" x14ac:dyDescent="0.15">
      <c r="E147" s="444">
        <f t="shared" si="2"/>
        <v>0</v>
      </c>
    </row>
    <row r="148" spans="1:5" x14ac:dyDescent="0.15">
      <c r="A148" t="s">
        <v>825</v>
      </c>
      <c r="E148" s="444">
        <f t="shared" si="2"/>
        <v>0</v>
      </c>
    </row>
    <row r="149" spans="1:5" x14ac:dyDescent="0.15">
      <c r="A149" t="s">
        <v>826</v>
      </c>
      <c r="B149" t="s">
        <v>809</v>
      </c>
      <c r="C149">
        <v>79.8</v>
      </c>
      <c r="D149" s="444">
        <v>228256.55</v>
      </c>
      <c r="E149" s="444">
        <f t="shared" si="2"/>
        <v>18214872.689999998</v>
      </c>
    </row>
    <row r="150" spans="1:5" x14ac:dyDescent="0.15">
      <c r="E150" s="444">
        <f t="shared" si="2"/>
        <v>0</v>
      </c>
    </row>
    <row r="151" spans="1:5" x14ac:dyDescent="0.15">
      <c r="A151" t="s">
        <v>827</v>
      </c>
      <c r="E151" s="444">
        <f t="shared" si="2"/>
        <v>0</v>
      </c>
    </row>
    <row r="152" spans="1:5" x14ac:dyDescent="0.15">
      <c r="A152" t="s">
        <v>828</v>
      </c>
      <c r="B152" t="s">
        <v>809</v>
      </c>
      <c r="C152">
        <v>37.9</v>
      </c>
      <c r="D152" s="444">
        <v>280931.13</v>
      </c>
      <c r="E152" s="444">
        <f t="shared" si="2"/>
        <v>10647289.827</v>
      </c>
    </row>
    <row r="153" spans="1:5" x14ac:dyDescent="0.15">
      <c r="E153" s="444">
        <f t="shared" si="2"/>
        <v>0</v>
      </c>
    </row>
    <row r="154" spans="1:5" x14ac:dyDescent="0.15">
      <c r="A154" t="s">
        <v>829</v>
      </c>
      <c r="B154" t="s">
        <v>830</v>
      </c>
      <c r="C154">
        <v>1</v>
      </c>
      <c r="D154" s="444">
        <v>163876.48000000001</v>
      </c>
      <c r="E154" s="444">
        <f t="shared" si="2"/>
        <v>163876.48000000001</v>
      </c>
    </row>
    <row r="155" spans="1:5" x14ac:dyDescent="0.15">
      <c r="E155" s="444">
        <f t="shared" si="2"/>
        <v>0</v>
      </c>
    </row>
    <row r="156" spans="1:5" x14ac:dyDescent="0.15">
      <c r="A156" t="s">
        <v>831</v>
      </c>
      <c r="B156" t="s">
        <v>830</v>
      </c>
      <c r="C156">
        <v>1</v>
      </c>
      <c r="D156" s="444">
        <v>280931.13</v>
      </c>
      <c r="E156" s="444">
        <f t="shared" si="2"/>
        <v>280931.13</v>
      </c>
    </row>
    <row r="157" spans="1:5" x14ac:dyDescent="0.15">
      <c r="E157" s="444">
        <f t="shared" si="2"/>
        <v>0</v>
      </c>
    </row>
    <row r="158" spans="1:5" x14ac:dyDescent="0.15">
      <c r="A158" t="s">
        <v>832</v>
      </c>
      <c r="B158" t="s">
        <v>811</v>
      </c>
      <c r="C158">
        <v>58.8</v>
      </c>
      <c r="D158" s="444">
        <v>116330.58</v>
      </c>
      <c r="E158" s="444">
        <f t="shared" si="2"/>
        <v>6840238.1039999994</v>
      </c>
    </row>
    <row r="159" spans="1:5" x14ac:dyDescent="0.15">
      <c r="E159" s="444">
        <f t="shared" si="2"/>
        <v>0</v>
      </c>
    </row>
    <row r="160" spans="1:5" x14ac:dyDescent="0.15">
      <c r="A160" t="s">
        <v>833</v>
      </c>
      <c r="B160" t="s">
        <v>811</v>
      </c>
      <c r="C160">
        <v>58.8</v>
      </c>
      <c r="D160" s="444">
        <v>8309.33</v>
      </c>
      <c r="E160" s="444">
        <f t="shared" si="2"/>
        <v>488588.60399999999</v>
      </c>
    </row>
    <row r="161" spans="1:5" x14ac:dyDescent="0.15">
      <c r="E161" s="444">
        <f t="shared" si="2"/>
        <v>0</v>
      </c>
    </row>
    <row r="162" spans="1:5" x14ac:dyDescent="0.15">
      <c r="A162" t="s">
        <v>808</v>
      </c>
      <c r="B162" t="s">
        <v>809</v>
      </c>
      <c r="C162">
        <v>168</v>
      </c>
      <c r="D162" s="444">
        <v>14541.32</v>
      </c>
      <c r="E162" s="444">
        <f t="shared" si="2"/>
        <v>2442941.7599999998</v>
      </c>
    </row>
    <row r="163" spans="1:5" x14ac:dyDescent="0.15">
      <c r="E163" s="444">
        <f t="shared" si="2"/>
        <v>0</v>
      </c>
    </row>
    <row r="164" spans="1:5" x14ac:dyDescent="0.15">
      <c r="A164" t="s">
        <v>810</v>
      </c>
      <c r="B164" t="s">
        <v>811</v>
      </c>
      <c r="C164">
        <v>10.5</v>
      </c>
      <c r="D164" s="444">
        <v>116330.58</v>
      </c>
      <c r="E164" s="444">
        <f t="shared" si="2"/>
        <v>1221471.0900000001</v>
      </c>
    </row>
    <row r="165" spans="1:5" x14ac:dyDescent="0.15">
      <c r="E165" s="444">
        <f t="shared" si="2"/>
        <v>0</v>
      </c>
    </row>
    <row r="166" spans="1:5" x14ac:dyDescent="0.15">
      <c r="A166" t="s">
        <v>812</v>
      </c>
      <c r="B166" t="s">
        <v>811</v>
      </c>
      <c r="C166">
        <v>10.5</v>
      </c>
      <c r="D166" s="444">
        <v>8309.33</v>
      </c>
      <c r="E166" s="444">
        <f t="shared" si="2"/>
        <v>87247.964999999997</v>
      </c>
    </row>
    <row r="167" spans="1:5" x14ac:dyDescent="0.15">
      <c r="E167" s="444">
        <f t="shared" si="2"/>
        <v>0</v>
      </c>
    </row>
    <row r="168" spans="1:5" x14ac:dyDescent="0.15">
      <c r="A168" t="s">
        <v>813</v>
      </c>
      <c r="B168" t="s">
        <v>811</v>
      </c>
      <c r="C168">
        <v>12</v>
      </c>
      <c r="E168" s="444">
        <f t="shared" si="2"/>
        <v>0</v>
      </c>
    </row>
    <row r="169" spans="1:5" x14ac:dyDescent="0.15">
      <c r="E169" s="444">
        <f t="shared" si="2"/>
        <v>0</v>
      </c>
    </row>
    <row r="170" spans="1:5" x14ac:dyDescent="0.15">
      <c r="A170" t="s">
        <v>814</v>
      </c>
      <c r="B170" t="s">
        <v>809</v>
      </c>
      <c r="C170">
        <v>23</v>
      </c>
      <c r="D170" s="444">
        <v>14541.32</v>
      </c>
      <c r="E170" s="444">
        <f t="shared" si="2"/>
        <v>334450.36</v>
      </c>
    </row>
    <row r="171" spans="1:5" x14ac:dyDescent="0.15">
      <c r="E171" s="444">
        <f t="shared" si="2"/>
        <v>0</v>
      </c>
    </row>
    <row r="172" spans="1:5" x14ac:dyDescent="0.15">
      <c r="E172" s="444">
        <f t="shared" si="2"/>
        <v>0</v>
      </c>
    </row>
    <row r="173" spans="1:5" x14ac:dyDescent="0.15">
      <c r="A173" t="s">
        <v>836</v>
      </c>
      <c r="B173" t="s">
        <v>804</v>
      </c>
      <c r="C173" t="s">
        <v>805</v>
      </c>
      <c r="D173" t="s">
        <v>806</v>
      </c>
      <c r="E173" s="444" t="e">
        <f t="shared" si="2"/>
        <v>#VALUE!</v>
      </c>
    </row>
    <row r="174" spans="1:5" x14ac:dyDescent="0.15">
      <c r="E174" s="444">
        <f t="shared" si="2"/>
        <v>0</v>
      </c>
    </row>
    <row r="175" spans="1:5" x14ac:dyDescent="0.15">
      <c r="A175" t="s">
        <v>837</v>
      </c>
      <c r="B175" t="s">
        <v>811</v>
      </c>
      <c r="C175">
        <v>6.3</v>
      </c>
      <c r="D175" s="444">
        <v>925575.84</v>
      </c>
      <c r="E175" s="444">
        <f t="shared" si="2"/>
        <v>5831127.7919999994</v>
      </c>
    </row>
    <row r="176" spans="1:5" x14ac:dyDescent="0.15">
      <c r="E176" s="444">
        <f t="shared" si="2"/>
        <v>0</v>
      </c>
    </row>
    <row r="177" spans="1:5" x14ac:dyDescent="0.15">
      <c r="A177" t="s">
        <v>832</v>
      </c>
      <c r="B177" t="s">
        <v>811</v>
      </c>
      <c r="C177">
        <v>58.8</v>
      </c>
      <c r="D177" s="444">
        <v>116330.58</v>
      </c>
      <c r="E177" s="444">
        <f t="shared" si="2"/>
        <v>6840238.1039999994</v>
      </c>
    </row>
    <row r="178" spans="1:5" x14ac:dyDescent="0.15">
      <c r="E178" s="444">
        <f t="shared" si="2"/>
        <v>0</v>
      </c>
    </row>
    <row r="179" spans="1:5" x14ac:dyDescent="0.15">
      <c r="A179" t="s">
        <v>833</v>
      </c>
      <c r="B179" t="s">
        <v>811</v>
      </c>
      <c r="C179">
        <v>58.8</v>
      </c>
      <c r="D179" s="444">
        <v>8309.33</v>
      </c>
      <c r="E179" s="444">
        <f t="shared" si="2"/>
        <v>488588.60399999999</v>
      </c>
    </row>
    <row r="180" spans="1:5" x14ac:dyDescent="0.15">
      <c r="E180" s="444">
        <f t="shared" si="2"/>
        <v>0</v>
      </c>
    </row>
    <row r="181" spans="1:5" x14ac:dyDescent="0.15">
      <c r="A181" t="s">
        <v>808</v>
      </c>
      <c r="B181" t="s">
        <v>809</v>
      </c>
      <c r="C181">
        <v>168</v>
      </c>
      <c r="D181" s="444">
        <v>16693.7</v>
      </c>
      <c r="E181" s="444">
        <f t="shared" si="2"/>
        <v>2804541.6</v>
      </c>
    </row>
    <row r="182" spans="1:5" x14ac:dyDescent="0.15">
      <c r="E182" s="444">
        <f t="shared" si="2"/>
        <v>0</v>
      </c>
    </row>
    <row r="183" spans="1:5" x14ac:dyDescent="0.15">
      <c r="A183" t="s">
        <v>810</v>
      </c>
      <c r="B183" t="s">
        <v>811</v>
      </c>
      <c r="C183">
        <v>10.5</v>
      </c>
      <c r="D183" s="444">
        <v>116330.58</v>
      </c>
      <c r="E183" s="444">
        <f t="shared" si="2"/>
        <v>1221471.0900000001</v>
      </c>
    </row>
    <row r="184" spans="1:5" x14ac:dyDescent="0.15">
      <c r="E184" s="444">
        <f t="shared" si="2"/>
        <v>0</v>
      </c>
    </row>
    <row r="185" spans="1:5" x14ac:dyDescent="0.15">
      <c r="A185" t="s">
        <v>812</v>
      </c>
      <c r="B185" t="s">
        <v>811</v>
      </c>
      <c r="C185">
        <v>10.5</v>
      </c>
      <c r="D185" s="444">
        <v>8309.33</v>
      </c>
      <c r="E185" s="444">
        <f t="shared" si="2"/>
        <v>87247.964999999997</v>
      </c>
    </row>
    <row r="186" spans="1:5" x14ac:dyDescent="0.15">
      <c r="E186" s="444">
        <f t="shared" si="2"/>
        <v>0</v>
      </c>
    </row>
    <row r="187" spans="1:5" x14ac:dyDescent="0.15">
      <c r="A187" t="s">
        <v>813</v>
      </c>
      <c r="B187" t="s">
        <v>811</v>
      </c>
      <c r="C187">
        <v>12</v>
      </c>
      <c r="E187" s="444">
        <f t="shared" si="2"/>
        <v>0</v>
      </c>
    </row>
    <row r="188" spans="1:5" x14ac:dyDescent="0.15">
      <c r="E188" s="444">
        <f t="shared" si="2"/>
        <v>0</v>
      </c>
    </row>
    <row r="189" spans="1:5" x14ac:dyDescent="0.15">
      <c r="A189" t="s">
        <v>814</v>
      </c>
      <c r="B189" t="s">
        <v>809</v>
      </c>
      <c r="C189">
        <v>23</v>
      </c>
      <c r="D189" s="444">
        <v>14541.32</v>
      </c>
      <c r="E189" s="444">
        <f t="shared" si="2"/>
        <v>334450.36</v>
      </c>
    </row>
    <row r="190" spans="1:5" x14ac:dyDescent="0.15">
      <c r="E190" s="444">
        <f t="shared" si="2"/>
        <v>0</v>
      </c>
    </row>
    <row r="191" spans="1:5" x14ac:dyDescent="0.15">
      <c r="E191" s="444">
        <f t="shared" si="2"/>
        <v>0</v>
      </c>
    </row>
    <row r="192" spans="1:5" x14ac:dyDescent="0.15">
      <c r="A192" t="s">
        <v>838</v>
      </c>
      <c r="B192" t="s">
        <v>804</v>
      </c>
      <c r="C192" t="s">
        <v>805</v>
      </c>
      <c r="D192" t="s">
        <v>806</v>
      </c>
      <c r="E192" s="444" t="e">
        <f t="shared" si="2"/>
        <v>#VALUE!</v>
      </c>
    </row>
    <row r="193" spans="1:5" x14ac:dyDescent="0.15">
      <c r="E193" s="444">
        <f t="shared" si="2"/>
        <v>0</v>
      </c>
    </row>
    <row r="194" spans="1:5" x14ac:dyDescent="0.15">
      <c r="A194" t="s">
        <v>839</v>
      </c>
      <c r="B194" t="s">
        <v>811</v>
      </c>
      <c r="C194">
        <v>6.3</v>
      </c>
      <c r="D194" s="444">
        <v>925575.84</v>
      </c>
      <c r="E194" s="444">
        <f t="shared" si="2"/>
        <v>5831127.7919999994</v>
      </c>
    </row>
    <row r="195" spans="1:5" x14ac:dyDescent="0.15">
      <c r="E195" s="444">
        <f t="shared" si="2"/>
        <v>0</v>
      </c>
    </row>
    <row r="196" spans="1:5" x14ac:dyDescent="0.15">
      <c r="A196" t="s">
        <v>832</v>
      </c>
      <c r="B196" t="s">
        <v>811</v>
      </c>
      <c r="C196">
        <v>58.8</v>
      </c>
      <c r="D196" s="444">
        <v>116330.58</v>
      </c>
      <c r="E196" s="444">
        <f t="shared" ref="E196:E256" si="3">C196*D196</f>
        <v>6840238.1039999994</v>
      </c>
    </row>
    <row r="197" spans="1:5" x14ac:dyDescent="0.15">
      <c r="E197" s="444">
        <f t="shared" si="3"/>
        <v>0</v>
      </c>
    </row>
    <row r="198" spans="1:5" x14ac:dyDescent="0.15">
      <c r="A198" t="s">
        <v>833</v>
      </c>
      <c r="B198" t="s">
        <v>811</v>
      </c>
      <c r="C198">
        <v>58.8</v>
      </c>
      <c r="D198" s="444">
        <v>8309.33</v>
      </c>
      <c r="E198" s="444">
        <f t="shared" si="3"/>
        <v>488588.60399999999</v>
      </c>
    </row>
    <row r="199" spans="1:5" x14ac:dyDescent="0.15">
      <c r="E199" s="444">
        <f t="shared" si="3"/>
        <v>0</v>
      </c>
    </row>
    <row r="200" spans="1:5" x14ac:dyDescent="0.15">
      <c r="A200" t="s">
        <v>808</v>
      </c>
      <c r="B200" t="s">
        <v>809</v>
      </c>
      <c r="C200">
        <v>168</v>
      </c>
      <c r="D200" s="444">
        <v>16693.7</v>
      </c>
      <c r="E200" s="444">
        <f t="shared" si="3"/>
        <v>2804541.6</v>
      </c>
    </row>
    <row r="201" spans="1:5" x14ac:dyDescent="0.15">
      <c r="E201" s="444">
        <f t="shared" si="3"/>
        <v>0</v>
      </c>
    </row>
    <row r="202" spans="1:5" x14ac:dyDescent="0.15">
      <c r="A202" t="s">
        <v>810</v>
      </c>
      <c r="B202" t="s">
        <v>811</v>
      </c>
      <c r="C202">
        <v>10.5</v>
      </c>
      <c r="D202" s="444">
        <v>116330.58</v>
      </c>
      <c r="E202" s="444">
        <f t="shared" si="3"/>
        <v>1221471.0900000001</v>
      </c>
    </row>
    <row r="203" spans="1:5" x14ac:dyDescent="0.15">
      <c r="E203" s="444">
        <f t="shared" si="3"/>
        <v>0</v>
      </c>
    </row>
    <row r="204" spans="1:5" x14ac:dyDescent="0.15">
      <c r="A204" t="s">
        <v>812</v>
      </c>
      <c r="B204" t="s">
        <v>811</v>
      </c>
      <c r="C204">
        <v>10.5</v>
      </c>
      <c r="D204" s="444">
        <v>8309.33</v>
      </c>
      <c r="E204" s="444">
        <f t="shared" si="3"/>
        <v>87247.964999999997</v>
      </c>
    </row>
    <row r="205" spans="1:5" x14ac:dyDescent="0.15">
      <c r="E205" s="444">
        <f t="shared" si="3"/>
        <v>0</v>
      </c>
    </row>
    <row r="206" spans="1:5" x14ac:dyDescent="0.15">
      <c r="A206" t="s">
        <v>813</v>
      </c>
      <c r="B206" t="s">
        <v>811</v>
      </c>
      <c r="C206">
        <v>12</v>
      </c>
      <c r="E206" s="444">
        <f t="shared" si="3"/>
        <v>0</v>
      </c>
    </row>
    <row r="207" spans="1:5" x14ac:dyDescent="0.15">
      <c r="E207" s="444">
        <f t="shared" si="3"/>
        <v>0</v>
      </c>
    </row>
    <row r="208" spans="1:5" x14ac:dyDescent="0.15">
      <c r="A208" t="s">
        <v>814</v>
      </c>
      <c r="B208" t="s">
        <v>809</v>
      </c>
      <c r="C208">
        <v>23</v>
      </c>
      <c r="D208" s="444">
        <v>14541.32</v>
      </c>
      <c r="E208" s="444">
        <f t="shared" si="3"/>
        <v>334450.36</v>
      </c>
    </row>
    <row r="209" spans="1:5" x14ac:dyDescent="0.15">
      <c r="E209" s="444">
        <f t="shared" si="3"/>
        <v>0</v>
      </c>
    </row>
    <row r="210" spans="1:5" x14ac:dyDescent="0.15">
      <c r="E210" s="444">
        <f t="shared" si="3"/>
        <v>0</v>
      </c>
    </row>
    <row r="211" spans="1:5" x14ac:dyDescent="0.15">
      <c r="A211" t="s">
        <v>840</v>
      </c>
      <c r="B211" t="s">
        <v>804</v>
      </c>
      <c r="C211" t="s">
        <v>805</v>
      </c>
      <c r="D211" t="s">
        <v>806</v>
      </c>
      <c r="E211" s="444" t="e">
        <f t="shared" si="3"/>
        <v>#VALUE!</v>
      </c>
    </row>
    <row r="212" spans="1:5" x14ac:dyDescent="0.15">
      <c r="E212" s="444">
        <f t="shared" si="3"/>
        <v>0</v>
      </c>
    </row>
    <row r="213" spans="1:5" x14ac:dyDescent="0.15">
      <c r="A213" t="s">
        <v>823</v>
      </c>
      <c r="B213" t="s">
        <v>809</v>
      </c>
      <c r="C213">
        <v>84.5</v>
      </c>
      <c r="D213" s="444">
        <v>91302.63</v>
      </c>
      <c r="E213" s="444">
        <f t="shared" si="3"/>
        <v>7715072.2350000003</v>
      </c>
    </row>
    <row r="214" spans="1:5" x14ac:dyDescent="0.15">
      <c r="E214" s="444">
        <f t="shared" si="3"/>
        <v>0</v>
      </c>
    </row>
    <row r="215" spans="1:5" x14ac:dyDescent="0.15">
      <c r="A215" t="s">
        <v>824</v>
      </c>
      <c r="B215" t="s">
        <v>809</v>
      </c>
      <c r="C215">
        <v>20.7</v>
      </c>
      <c r="D215" s="444">
        <v>124858.29</v>
      </c>
      <c r="E215" s="444">
        <f t="shared" si="3"/>
        <v>2584566.6029999997</v>
      </c>
    </row>
    <row r="216" spans="1:5" x14ac:dyDescent="0.15">
      <c r="E216" s="444">
        <f t="shared" si="3"/>
        <v>0</v>
      </c>
    </row>
    <row r="217" spans="1:5" x14ac:dyDescent="0.15">
      <c r="A217" t="s">
        <v>825</v>
      </c>
      <c r="D217" t="s">
        <v>841</v>
      </c>
      <c r="E217" s="444" t="e">
        <f t="shared" si="3"/>
        <v>#VALUE!</v>
      </c>
    </row>
    <row r="218" spans="1:5" x14ac:dyDescent="0.15">
      <c r="A218" t="s">
        <v>826</v>
      </c>
      <c r="B218" t="s">
        <v>809</v>
      </c>
      <c r="C218">
        <v>79.8</v>
      </c>
      <c r="D218" s="444">
        <v>280931.13</v>
      </c>
      <c r="E218" s="444">
        <f t="shared" si="3"/>
        <v>22418304.173999999</v>
      </c>
    </row>
    <row r="219" spans="1:5" x14ac:dyDescent="0.15">
      <c r="E219" s="444">
        <f t="shared" si="3"/>
        <v>0</v>
      </c>
    </row>
    <row r="220" spans="1:5" x14ac:dyDescent="0.15">
      <c r="A220" t="s">
        <v>827</v>
      </c>
      <c r="E220" s="444">
        <f t="shared" si="3"/>
        <v>0</v>
      </c>
    </row>
    <row r="221" spans="1:5" x14ac:dyDescent="0.15">
      <c r="A221" t="s">
        <v>828</v>
      </c>
      <c r="B221" t="s">
        <v>809</v>
      </c>
      <c r="C221">
        <v>37.9</v>
      </c>
      <c r="D221" s="444">
        <v>228256.55</v>
      </c>
      <c r="E221" s="444">
        <f t="shared" si="3"/>
        <v>8650923.2449999992</v>
      </c>
    </row>
    <row r="222" spans="1:5" x14ac:dyDescent="0.15">
      <c r="E222" s="444">
        <f t="shared" si="3"/>
        <v>0</v>
      </c>
    </row>
    <row r="223" spans="1:5" x14ac:dyDescent="0.15">
      <c r="A223" t="s">
        <v>829</v>
      </c>
      <c r="B223" t="s">
        <v>830</v>
      </c>
      <c r="C223">
        <v>1</v>
      </c>
      <c r="D223" s="444">
        <v>163876.48000000001</v>
      </c>
      <c r="E223" s="444">
        <f t="shared" si="3"/>
        <v>163876.48000000001</v>
      </c>
    </row>
    <row r="224" spans="1:5" x14ac:dyDescent="0.15">
      <c r="E224" s="444">
        <f t="shared" si="3"/>
        <v>0</v>
      </c>
    </row>
    <row r="225" spans="1:5" x14ac:dyDescent="0.15">
      <c r="A225" t="s">
        <v>831</v>
      </c>
      <c r="B225" t="s">
        <v>830</v>
      </c>
      <c r="C225">
        <v>1</v>
      </c>
      <c r="D225" s="444">
        <v>280931.13</v>
      </c>
      <c r="E225" s="444">
        <f t="shared" si="3"/>
        <v>280931.13</v>
      </c>
    </row>
    <row r="226" spans="1:5" x14ac:dyDescent="0.15">
      <c r="E226" s="444">
        <f t="shared" si="3"/>
        <v>0</v>
      </c>
    </row>
    <row r="227" spans="1:5" x14ac:dyDescent="0.15">
      <c r="A227" t="s">
        <v>832</v>
      </c>
      <c r="B227" t="s">
        <v>811</v>
      </c>
      <c r="C227">
        <v>58.8</v>
      </c>
      <c r="D227" s="444">
        <v>116330.58</v>
      </c>
      <c r="E227" s="444">
        <f t="shared" si="3"/>
        <v>6840238.1039999994</v>
      </c>
    </row>
    <row r="228" spans="1:5" x14ac:dyDescent="0.15">
      <c r="E228" s="444">
        <f t="shared" si="3"/>
        <v>0</v>
      </c>
    </row>
    <row r="229" spans="1:5" x14ac:dyDescent="0.15">
      <c r="A229" t="s">
        <v>833</v>
      </c>
      <c r="B229" t="s">
        <v>811</v>
      </c>
      <c r="C229">
        <v>58.8</v>
      </c>
      <c r="D229" s="444">
        <v>8309.33</v>
      </c>
      <c r="E229" s="444">
        <f t="shared" si="3"/>
        <v>488588.60399999999</v>
      </c>
    </row>
    <row r="230" spans="1:5" x14ac:dyDescent="0.15">
      <c r="E230" s="444">
        <f t="shared" si="3"/>
        <v>0</v>
      </c>
    </row>
    <row r="231" spans="1:5" x14ac:dyDescent="0.15">
      <c r="A231" t="s">
        <v>808</v>
      </c>
      <c r="B231" t="s">
        <v>809</v>
      </c>
      <c r="C231">
        <v>168</v>
      </c>
      <c r="D231" s="444">
        <v>14541.32</v>
      </c>
      <c r="E231" s="444">
        <f t="shared" si="3"/>
        <v>2442941.7599999998</v>
      </c>
    </row>
    <row r="232" spans="1:5" x14ac:dyDescent="0.15">
      <c r="E232" s="444">
        <f t="shared" si="3"/>
        <v>0</v>
      </c>
    </row>
    <row r="233" spans="1:5" x14ac:dyDescent="0.15">
      <c r="A233" t="s">
        <v>810</v>
      </c>
      <c r="B233" t="s">
        <v>811</v>
      </c>
      <c r="C233">
        <v>10.5</v>
      </c>
      <c r="D233" s="444">
        <v>116330.58</v>
      </c>
      <c r="E233" s="444">
        <f t="shared" si="3"/>
        <v>1221471.0900000001</v>
      </c>
    </row>
    <row r="234" spans="1:5" x14ac:dyDescent="0.15">
      <c r="E234" s="444">
        <f t="shared" si="3"/>
        <v>0</v>
      </c>
    </row>
    <row r="235" spans="1:5" x14ac:dyDescent="0.15">
      <c r="A235" t="s">
        <v>812</v>
      </c>
      <c r="B235" t="s">
        <v>811</v>
      </c>
      <c r="C235">
        <v>10.5</v>
      </c>
      <c r="D235" s="444">
        <v>8309.33</v>
      </c>
      <c r="E235" s="444">
        <f t="shared" si="3"/>
        <v>87247.964999999997</v>
      </c>
    </row>
    <row r="236" spans="1:5" x14ac:dyDescent="0.15">
      <c r="E236" s="444">
        <f t="shared" si="3"/>
        <v>0</v>
      </c>
    </row>
    <row r="237" spans="1:5" x14ac:dyDescent="0.15">
      <c r="A237" t="s">
        <v>813</v>
      </c>
      <c r="B237" t="s">
        <v>811</v>
      </c>
      <c r="C237">
        <v>12</v>
      </c>
      <c r="E237" s="444">
        <f t="shared" si="3"/>
        <v>0</v>
      </c>
    </row>
    <row r="238" spans="1:5" x14ac:dyDescent="0.15">
      <c r="E238" s="444">
        <f t="shared" si="3"/>
        <v>0</v>
      </c>
    </row>
    <row r="239" spans="1:5" x14ac:dyDescent="0.15">
      <c r="A239" t="s">
        <v>814</v>
      </c>
      <c r="B239" t="s">
        <v>809</v>
      </c>
      <c r="C239">
        <v>23</v>
      </c>
      <c r="D239" s="444">
        <v>14541.32</v>
      </c>
      <c r="E239" s="444">
        <f t="shared" si="3"/>
        <v>334450.36</v>
      </c>
    </row>
    <row r="240" spans="1:5" x14ac:dyDescent="0.15">
      <c r="E240" s="444">
        <f t="shared" si="3"/>
        <v>0</v>
      </c>
    </row>
    <row r="241" spans="1:5" x14ac:dyDescent="0.15">
      <c r="E241" s="444">
        <f t="shared" si="3"/>
        <v>0</v>
      </c>
    </row>
    <row r="242" spans="1:5" x14ac:dyDescent="0.15">
      <c r="A242" t="s">
        <v>842</v>
      </c>
      <c r="B242" t="s">
        <v>804</v>
      </c>
      <c r="C242" t="s">
        <v>805</v>
      </c>
      <c r="D242" t="s">
        <v>806</v>
      </c>
      <c r="E242" s="444" t="e">
        <f t="shared" si="3"/>
        <v>#VALUE!</v>
      </c>
    </row>
    <row r="243" spans="1:5" x14ac:dyDescent="0.15">
      <c r="E243" s="444">
        <f t="shared" si="3"/>
        <v>0</v>
      </c>
    </row>
    <row r="244" spans="1:5" x14ac:dyDescent="0.15">
      <c r="A244" t="s">
        <v>808</v>
      </c>
      <c r="B244" t="s">
        <v>809</v>
      </c>
      <c r="C244">
        <v>168</v>
      </c>
      <c r="D244" s="444">
        <v>16693.7</v>
      </c>
      <c r="E244" s="444">
        <f t="shared" si="3"/>
        <v>2804541.6</v>
      </c>
    </row>
    <row r="245" spans="1:5" x14ac:dyDescent="0.15">
      <c r="E245" s="444">
        <f t="shared" si="3"/>
        <v>0</v>
      </c>
    </row>
    <row r="246" spans="1:5" x14ac:dyDescent="0.15">
      <c r="A246" t="s">
        <v>810</v>
      </c>
      <c r="B246" t="s">
        <v>811</v>
      </c>
      <c r="C246">
        <v>10.5</v>
      </c>
      <c r="D246" s="444">
        <v>116330.58</v>
      </c>
      <c r="E246" s="444">
        <f t="shared" si="3"/>
        <v>1221471.0900000001</v>
      </c>
    </row>
    <row r="247" spans="1:5" x14ac:dyDescent="0.15">
      <c r="E247" s="444">
        <f t="shared" si="3"/>
        <v>0</v>
      </c>
    </row>
    <row r="248" spans="1:5" x14ac:dyDescent="0.15">
      <c r="A248" t="s">
        <v>812</v>
      </c>
      <c r="B248" t="s">
        <v>811</v>
      </c>
      <c r="C248">
        <v>10.5</v>
      </c>
      <c r="D248" s="444">
        <v>8309.33</v>
      </c>
      <c r="E248" s="444">
        <f t="shared" si="3"/>
        <v>87247.964999999997</v>
      </c>
    </row>
    <row r="249" spans="1:5" x14ac:dyDescent="0.15">
      <c r="E249" s="444">
        <f t="shared" si="3"/>
        <v>0</v>
      </c>
    </row>
    <row r="250" spans="1:5" x14ac:dyDescent="0.15">
      <c r="A250" t="s">
        <v>813</v>
      </c>
      <c r="B250" t="s">
        <v>811</v>
      </c>
      <c r="C250">
        <v>12</v>
      </c>
      <c r="E250" s="444">
        <f t="shared" si="3"/>
        <v>0</v>
      </c>
    </row>
    <row r="251" spans="1:5" x14ac:dyDescent="0.15">
      <c r="E251" s="444">
        <f t="shared" si="3"/>
        <v>0</v>
      </c>
    </row>
    <row r="252" spans="1:5" x14ac:dyDescent="0.15">
      <c r="A252" t="s">
        <v>814</v>
      </c>
      <c r="B252" t="s">
        <v>809</v>
      </c>
      <c r="C252">
        <v>23</v>
      </c>
      <c r="D252" s="444">
        <v>14541.32</v>
      </c>
      <c r="E252" s="444">
        <f t="shared" si="3"/>
        <v>334450.36</v>
      </c>
    </row>
    <row r="253" spans="1:5" x14ac:dyDescent="0.15">
      <c r="E253" s="444">
        <f t="shared" si="3"/>
        <v>0</v>
      </c>
    </row>
    <row r="254" spans="1:5" x14ac:dyDescent="0.15">
      <c r="E254" s="444">
        <f t="shared" si="3"/>
        <v>0</v>
      </c>
    </row>
    <row r="255" spans="1:5" x14ac:dyDescent="0.15">
      <c r="E255" s="444">
        <f t="shared" si="3"/>
        <v>0</v>
      </c>
    </row>
    <row r="256" spans="1:5" x14ac:dyDescent="0.15">
      <c r="E256" s="444">
        <f t="shared" si="3"/>
        <v>0</v>
      </c>
    </row>
  </sheetData>
  <pageMargins left="0.7" right="0.7" top="0.75" bottom="0.75" header="0.3" footer="0.3"/>
  <pageSetup paperSize="9" scale="98"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97"/>
  <sheetViews>
    <sheetView topLeftCell="A79" workbookViewId="0">
      <selection activeCell="A70" sqref="A70:D70"/>
    </sheetView>
  </sheetViews>
  <sheetFormatPr defaultRowHeight="12.75" x14ac:dyDescent="0.15"/>
  <cols>
    <col min="1" max="1" width="39.2421875" customWidth="1"/>
    <col min="2" max="2" width="29.125" customWidth="1"/>
    <col min="3" max="3" width="31.015625" customWidth="1"/>
    <col min="4" max="4" width="24.54296875" customWidth="1"/>
  </cols>
  <sheetData>
    <row r="1" spans="1:3" ht="255" customHeight="1" x14ac:dyDescent="0.15">
      <c r="A1" s="555" t="s">
        <v>1763</v>
      </c>
      <c r="B1" s="555"/>
    </row>
    <row r="2" spans="1:3" ht="14.25" x14ac:dyDescent="0.15">
      <c r="A2" s="556"/>
      <c r="B2" s="556"/>
    </row>
    <row r="3" spans="1:3" ht="127.5" customHeight="1" x14ac:dyDescent="0.15">
      <c r="A3" s="555" t="s">
        <v>1762</v>
      </c>
      <c r="B3" s="555"/>
    </row>
    <row r="4" spans="1:3" ht="409.5" customHeight="1" x14ac:dyDescent="0.15">
      <c r="A4" s="556" t="s">
        <v>1733</v>
      </c>
      <c r="B4" s="556"/>
    </row>
    <row r="5" spans="1:3" ht="166.5" x14ac:dyDescent="0.15">
      <c r="A5" s="468" t="s">
        <v>1734</v>
      </c>
    </row>
    <row r="6" spans="1:3" ht="330" customHeight="1" x14ac:dyDescent="0.15">
      <c r="A6" s="556" t="s">
        <v>1735</v>
      </c>
      <c r="B6" s="556"/>
      <c r="C6" s="556"/>
    </row>
    <row r="7" spans="1:3" ht="14.25" x14ac:dyDescent="0.15">
      <c r="A7" s="468"/>
    </row>
    <row r="8" spans="1:3" ht="51.75" x14ac:dyDescent="0.35">
      <c r="A8" s="479" t="s">
        <v>1736</v>
      </c>
    </row>
    <row r="9" spans="1:3" ht="166.5" x14ac:dyDescent="0.15">
      <c r="A9" s="468" t="s">
        <v>1737</v>
      </c>
    </row>
    <row r="10" spans="1:3" ht="14.25" x14ac:dyDescent="0.15">
      <c r="A10" s="468"/>
    </row>
    <row r="11" spans="1:3" ht="51.75" x14ac:dyDescent="0.35">
      <c r="A11" s="479" t="s">
        <v>1738</v>
      </c>
    </row>
    <row r="12" spans="1:3" ht="152.25" x14ac:dyDescent="0.15">
      <c r="A12" s="468" t="s">
        <v>1739</v>
      </c>
    </row>
    <row r="13" spans="1:3" ht="28.5" x14ac:dyDescent="0.15">
      <c r="A13" s="468" t="s">
        <v>1740</v>
      </c>
    </row>
    <row r="14" spans="1:3" x14ac:dyDescent="0.15">
      <c r="A14" s="546"/>
    </row>
    <row r="15" spans="1:3" x14ac:dyDescent="0.15">
      <c r="A15" s="547"/>
    </row>
    <row r="16" spans="1:3" ht="56.25" x14ac:dyDescent="0.15">
      <c r="A16" s="468" t="s">
        <v>1741</v>
      </c>
    </row>
    <row r="17" spans="1:1" ht="14.25" x14ac:dyDescent="0.15">
      <c r="A17" s="468" t="s">
        <v>1742</v>
      </c>
    </row>
    <row r="18" spans="1:1" ht="14.25" x14ac:dyDescent="0.15">
      <c r="A18" s="468" t="s">
        <v>1743</v>
      </c>
    </row>
    <row r="19" spans="1:1" ht="14.25" x14ac:dyDescent="0.15">
      <c r="A19" s="468"/>
    </row>
    <row r="20" spans="1:1" ht="26.25" x14ac:dyDescent="0.15">
      <c r="A20" s="479" t="s">
        <v>1744</v>
      </c>
    </row>
    <row r="21" spans="1:1" ht="83.25" x14ac:dyDescent="0.15">
      <c r="A21" s="468" t="s">
        <v>1745</v>
      </c>
    </row>
    <row r="22" spans="1:1" ht="409.5" x14ac:dyDescent="0.15">
      <c r="A22" s="468" t="s">
        <v>1746</v>
      </c>
    </row>
    <row r="23" spans="1:1" ht="28.5" x14ac:dyDescent="0.15">
      <c r="A23" s="468" t="s">
        <v>1747</v>
      </c>
    </row>
    <row r="24" spans="1:1" ht="14.25" x14ac:dyDescent="0.15">
      <c r="A24" s="468"/>
    </row>
    <row r="25" spans="1:1" x14ac:dyDescent="0.15">
      <c r="A25" s="545"/>
    </row>
    <row r="26" spans="1:1" x14ac:dyDescent="0.15">
      <c r="A26" s="545"/>
    </row>
    <row r="27" spans="1:1" x14ac:dyDescent="0.15">
      <c r="A27" s="545"/>
    </row>
    <row r="28" spans="1:1" x14ac:dyDescent="0.15">
      <c r="A28" s="545"/>
    </row>
    <row r="29" spans="1:1" x14ac:dyDescent="0.15">
      <c r="A29" s="545"/>
    </row>
    <row r="30" spans="1:1" x14ac:dyDescent="0.15">
      <c r="A30" s="545"/>
    </row>
    <row r="31" spans="1:1" x14ac:dyDescent="0.15">
      <c r="A31" s="545"/>
    </row>
    <row r="32" spans="1:1" x14ac:dyDescent="0.15">
      <c r="A32" s="545"/>
    </row>
    <row r="33" spans="1:3" x14ac:dyDescent="0.15">
      <c r="A33" s="545"/>
    </row>
    <row r="34" spans="1:3" x14ac:dyDescent="0.15">
      <c r="A34" s="545"/>
    </row>
    <row r="35" spans="1:3" x14ac:dyDescent="0.15">
      <c r="A35" s="545"/>
    </row>
    <row r="36" spans="1:3" x14ac:dyDescent="0.15">
      <c r="A36" s="545"/>
    </row>
    <row r="37" spans="1:3" x14ac:dyDescent="0.15">
      <c r="A37" s="545"/>
    </row>
    <row r="38" spans="1:3" x14ac:dyDescent="0.15">
      <c r="A38" s="545"/>
    </row>
    <row r="39" spans="1:3" x14ac:dyDescent="0.15">
      <c r="A39" s="545"/>
    </row>
    <row r="40" spans="1:3" x14ac:dyDescent="0.15">
      <c r="A40" s="545"/>
    </row>
    <row r="41" spans="1:3" x14ac:dyDescent="0.15">
      <c r="A41" s="545"/>
    </row>
    <row r="42" spans="1:3" x14ac:dyDescent="0.15">
      <c r="A42" s="545"/>
    </row>
    <row r="43" spans="1:3" x14ac:dyDescent="0.15">
      <c r="A43" s="545"/>
    </row>
    <row r="44" spans="1:3" x14ac:dyDescent="0.15">
      <c r="A44" s="545"/>
    </row>
    <row r="45" spans="1:3" x14ac:dyDescent="0.15">
      <c r="A45" s="547"/>
    </row>
    <row r="46" spans="1:3" ht="409.5" customHeight="1" x14ac:dyDescent="0.15">
      <c r="A46" s="556" t="s">
        <v>1748</v>
      </c>
      <c r="B46" s="556"/>
      <c r="C46" s="556"/>
    </row>
    <row r="47" spans="1:3" x14ac:dyDescent="0.15">
      <c r="A47" s="546"/>
    </row>
    <row r="48" spans="1:3" x14ac:dyDescent="0.15">
      <c r="A48" s="547"/>
    </row>
    <row r="49" spans="1:4" ht="14.25" x14ac:dyDescent="0.15">
      <c r="A49" s="468"/>
    </row>
    <row r="50" spans="1:4" ht="14.25" x14ac:dyDescent="0.15">
      <c r="A50" s="468"/>
    </row>
    <row r="51" spans="1:4" ht="229.5" customHeight="1" x14ac:dyDescent="0.15">
      <c r="A51" s="555" t="s">
        <v>1764</v>
      </c>
      <c r="B51" s="555"/>
      <c r="C51" s="555"/>
    </row>
    <row r="52" spans="1:4" ht="135" customHeight="1" x14ac:dyDescent="0.15">
      <c r="A52" s="556" t="s">
        <v>1749</v>
      </c>
      <c r="B52" s="556"/>
      <c r="C52" s="556"/>
    </row>
    <row r="53" spans="1:4" ht="28.5" x14ac:dyDescent="0.15">
      <c r="A53" s="548" t="s">
        <v>1750</v>
      </c>
    </row>
    <row r="54" spans="1:4" ht="42" x14ac:dyDescent="0.15">
      <c r="A54" s="548" t="s">
        <v>1751</v>
      </c>
    </row>
    <row r="55" spans="1:4" ht="42" x14ac:dyDescent="0.15">
      <c r="A55" s="548" t="s">
        <v>1752</v>
      </c>
    </row>
    <row r="56" spans="1:4" ht="14.25" x14ac:dyDescent="0.15">
      <c r="A56" s="548" t="s">
        <v>1753</v>
      </c>
    </row>
    <row r="57" spans="1:4" ht="409.5" customHeight="1" x14ac:dyDescent="0.15">
      <c r="A57" s="556" t="s">
        <v>1754</v>
      </c>
      <c r="B57" s="556"/>
      <c r="C57" s="556"/>
    </row>
    <row r="58" spans="1:4" ht="42" x14ac:dyDescent="0.15">
      <c r="A58" s="468" t="s">
        <v>1755</v>
      </c>
    </row>
    <row r="59" spans="1:4" x14ac:dyDescent="0.15">
      <c r="A59" s="549" t="s">
        <v>1756</v>
      </c>
      <c r="B59" s="549" t="s">
        <v>1757</v>
      </c>
      <c r="C59" s="549" t="s">
        <v>1758</v>
      </c>
      <c r="D59" s="549" t="s">
        <v>1759</v>
      </c>
    </row>
    <row r="60" spans="1:4" x14ac:dyDescent="0.15">
      <c r="A60" s="549">
        <v>1</v>
      </c>
      <c r="B60" s="549">
        <v>0</v>
      </c>
      <c r="C60" s="549">
        <v>50</v>
      </c>
      <c r="D60" s="549">
        <v>50</v>
      </c>
    </row>
    <row r="61" spans="1:4" x14ac:dyDescent="0.15">
      <c r="A61" s="549">
        <v>2</v>
      </c>
      <c r="B61" s="549">
        <v>1</v>
      </c>
      <c r="C61" s="549">
        <v>25</v>
      </c>
      <c r="D61" s="549">
        <v>26</v>
      </c>
    </row>
    <row r="62" spans="1:4" x14ac:dyDescent="0.15">
      <c r="A62" s="549">
        <v>3</v>
      </c>
      <c r="B62" s="549">
        <v>2</v>
      </c>
      <c r="C62" s="549">
        <v>16.670000000000002</v>
      </c>
      <c r="D62" s="549">
        <v>18.670000000000002</v>
      </c>
    </row>
    <row r="63" spans="1:4" x14ac:dyDescent="0.15">
      <c r="A63" s="549">
        <v>4</v>
      </c>
      <c r="B63" s="549">
        <v>3</v>
      </c>
      <c r="C63" s="549">
        <v>12.5</v>
      </c>
      <c r="D63" s="549">
        <v>15.5</v>
      </c>
    </row>
    <row r="64" spans="1:4" x14ac:dyDescent="0.15">
      <c r="A64" s="549">
        <v>5</v>
      </c>
      <c r="B64" s="549">
        <v>4</v>
      </c>
      <c r="C64" s="549">
        <v>10</v>
      </c>
      <c r="D64" s="549">
        <v>14</v>
      </c>
    </row>
    <row r="65" spans="1:4" x14ac:dyDescent="0.15">
      <c r="A65" s="549">
        <v>6</v>
      </c>
      <c r="B65" s="549">
        <v>5</v>
      </c>
      <c r="C65" s="549">
        <v>8.33</v>
      </c>
      <c r="D65" s="549">
        <v>13.33</v>
      </c>
    </row>
    <row r="66" spans="1:4" x14ac:dyDescent="0.15">
      <c r="A66" s="549">
        <v>7</v>
      </c>
      <c r="B66" s="549">
        <v>6</v>
      </c>
      <c r="C66" s="549">
        <v>7.14</v>
      </c>
      <c r="D66" s="549">
        <v>13.14</v>
      </c>
    </row>
    <row r="67" spans="1:4" x14ac:dyDescent="0.15">
      <c r="A67" s="549">
        <v>8</v>
      </c>
      <c r="B67" s="549">
        <v>7</v>
      </c>
      <c r="C67" s="549">
        <v>6.25</v>
      </c>
      <c r="D67" s="549">
        <v>13.25</v>
      </c>
    </row>
    <row r="68" spans="1:4" x14ac:dyDescent="0.15">
      <c r="A68" s="549">
        <v>9</v>
      </c>
      <c r="B68" s="549">
        <v>8</v>
      </c>
      <c r="C68" s="549">
        <v>5.56</v>
      </c>
      <c r="D68" s="549">
        <v>13.56</v>
      </c>
    </row>
    <row r="69" spans="1:4" x14ac:dyDescent="0.15">
      <c r="A69" s="549">
        <v>10</v>
      </c>
      <c r="B69" s="549">
        <v>9</v>
      </c>
      <c r="C69" s="549">
        <v>5</v>
      </c>
      <c r="D69" s="549">
        <v>14</v>
      </c>
    </row>
    <row r="70" spans="1:4" ht="409.5" customHeight="1" x14ac:dyDescent="0.15">
      <c r="A70" s="557" t="s">
        <v>1760</v>
      </c>
      <c r="B70" s="557"/>
      <c r="C70" s="557"/>
      <c r="D70" s="557"/>
    </row>
    <row r="71" spans="1:4" ht="28.5" x14ac:dyDescent="0.15">
      <c r="A71" s="468" t="s">
        <v>1761</v>
      </c>
    </row>
    <row r="72" spans="1:4" ht="14.25" x14ac:dyDescent="0.15">
      <c r="A72" s="468"/>
    </row>
    <row r="73" spans="1:4" x14ac:dyDescent="0.15">
      <c r="A73" s="545"/>
    </row>
    <row r="74" spans="1:4" x14ac:dyDescent="0.15">
      <c r="A74" s="545"/>
    </row>
    <row r="75" spans="1:4" x14ac:dyDescent="0.15">
      <c r="A75" s="545"/>
    </row>
    <row r="76" spans="1:4" x14ac:dyDescent="0.15">
      <c r="A76" s="545"/>
    </row>
    <row r="77" spans="1:4" x14ac:dyDescent="0.15">
      <c r="A77" s="545"/>
    </row>
    <row r="78" spans="1:4" x14ac:dyDescent="0.15">
      <c r="A78" s="545"/>
    </row>
    <row r="79" spans="1:4" x14ac:dyDescent="0.15">
      <c r="A79" s="545"/>
    </row>
    <row r="80" spans="1:4" x14ac:dyDescent="0.15">
      <c r="A80" s="545"/>
    </row>
    <row r="81" spans="1:1" x14ac:dyDescent="0.15">
      <c r="A81" s="545"/>
    </row>
    <row r="82" spans="1:1" x14ac:dyDescent="0.15">
      <c r="A82" s="545"/>
    </row>
    <row r="83" spans="1:1" x14ac:dyDescent="0.15">
      <c r="A83" s="545"/>
    </row>
    <row r="84" spans="1:1" x14ac:dyDescent="0.15">
      <c r="A84" s="545"/>
    </row>
    <row r="85" spans="1:1" x14ac:dyDescent="0.15">
      <c r="A85" s="545"/>
    </row>
    <row r="86" spans="1:1" x14ac:dyDescent="0.15">
      <c r="A86" s="545"/>
    </row>
    <row r="87" spans="1:1" x14ac:dyDescent="0.15">
      <c r="A87" s="545"/>
    </row>
    <row r="88" spans="1:1" x14ac:dyDescent="0.15">
      <c r="A88" s="545"/>
    </row>
    <row r="89" spans="1:1" x14ac:dyDescent="0.15">
      <c r="A89" s="545"/>
    </row>
    <row r="90" spans="1:1" x14ac:dyDescent="0.15">
      <c r="A90" s="545"/>
    </row>
    <row r="91" spans="1:1" x14ac:dyDescent="0.15">
      <c r="A91" s="545"/>
    </row>
    <row r="92" spans="1:1" x14ac:dyDescent="0.15">
      <c r="A92" s="545"/>
    </row>
    <row r="93" spans="1:1" x14ac:dyDescent="0.15">
      <c r="A93" s="545"/>
    </row>
    <row r="94" spans="1:1" x14ac:dyDescent="0.15">
      <c r="A94" s="545"/>
    </row>
    <row r="95" spans="1:1" x14ac:dyDescent="0.15">
      <c r="A95" s="545"/>
    </row>
    <row r="96" spans="1:1" x14ac:dyDescent="0.15">
      <c r="A96" s="545"/>
    </row>
    <row r="97" spans="1:1" x14ac:dyDescent="0.15">
      <c r="A97" s="545"/>
    </row>
  </sheetData>
  <mergeCells count="10">
    <mergeCell ref="A1:B1"/>
    <mergeCell ref="A52:C52"/>
    <mergeCell ref="A57:C57"/>
    <mergeCell ref="A70:D70"/>
    <mergeCell ref="A2:B2"/>
    <mergeCell ref="A3:B3"/>
    <mergeCell ref="A4:B4"/>
    <mergeCell ref="A6:C6"/>
    <mergeCell ref="A46:C46"/>
    <mergeCell ref="A51:C5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24"/>
  <sheetViews>
    <sheetView topLeftCell="A212" workbookViewId="0">
      <selection activeCell="G216" sqref="G216"/>
    </sheetView>
  </sheetViews>
  <sheetFormatPr defaultRowHeight="12.75" x14ac:dyDescent="0.15"/>
  <cols>
    <col min="1" max="1" width="31.28515625" customWidth="1"/>
    <col min="2" max="2" width="39.375" customWidth="1"/>
    <col min="3" max="3" width="13.484375" customWidth="1"/>
  </cols>
  <sheetData>
    <row r="1" spans="1:5" ht="18" x14ac:dyDescent="0.2">
      <c r="A1" s="478" t="s">
        <v>990</v>
      </c>
    </row>
    <row r="2" spans="1:5" ht="27.75" x14ac:dyDescent="0.2">
      <c r="A2" s="463" t="s">
        <v>742</v>
      </c>
      <c r="B2" s="463" t="s">
        <v>881</v>
      </c>
      <c r="C2" s="463" t="s">
        <v>882</v>
      </c>
      <c r="D2" s="463" t="s">
        <v>883</v>
      </c>
      <c r="E2" s="463" t="s">
        <v>884</v>
      </c>
    </row>
    <row r="3" spans="1:5" ht="13.5" thickBot="1" x14ac:dyDescent="0.2">
      <c r="A3" s="464" t="s">
        <v>885</v>
      </c>
      <c r="B3" s="465"/>
      <c r="C3" s="465"/>
      <c r="D3" s="466"/>
      <c r="E3" s="467"/>
    </row>
    <row r="4" spans="1:5" ht="13.5" thickBot="1" x14ac:dyDescent="0.2">
      <c r="A4" s="464"/>
      <c r="B4" s="465" t="s">
        <v>886</v>
      </c>
      <c r="C4" s="465" t="s">
        <v>84</v>
      </c>
      <c r="D4" s="466">
        <v>0.2</v>
      </c>
      <c r="E4" s="467"/>
    </row>
    <row r="5" spans="1:5" ht="13.5" thickBot="1" x14ac:dyDescent="0.2">
      <c r="A5" s="464"/>
      <c r="B5" s="465" t="s">
        <v>887</v>
      </c>
      <c r="C5" s="465" t="s">
        <v>84</v>
      </c>
      <c r="D5" s="466">
        <v>0.22</v>
      </c>
      <c r="E5" s="467"/>
    </row>
    <row r="6" spans="1:5" ht="13.5" thickBot="1" x14ac:dyDescent="0.2">
      <c r="A6" s="464"/>
      <c r="B6" s="465" t="s">
        <v>888</v>
      </c>
      <c r="C6" s="465" t="s">
        <v>84</v>
      </c>
      <c r="D6" s="466">
        <v>0.22</v>
      </c>
      <c r="E6" s="467"/>
    </row>
    <row r="7" spans="1:5" ht="13.5" thickBot="1" x14ac:dyDescent="0.2">
      <c r="A7" s="464"/>
      <c r="B7" s="465" t="s">
        <v>889</v>
      </c>
      <c r="C7" s="465" t="s">
        <v>84</v>
      </c>
      <c r="D7" s="466">
        <v>0.26</v>
      </c>
      <c r="E7" s="467"/>
    </row>
    <row r="8" spans="1:5" ht="13.5" thickBot="1" x14ac:dyDescent="0.2">
      <c r="A8" s="464"/>
      <c r="B8" s="465" t="s">
        <v>890</v>
      </c>
      <c r="C8" s="465" t="s">
        <v>84</v>
      </c>
      <c r="D8" s="466">
        <v>0.3</v>
      </c>
      <c r="E8" s="467"/>
    </row>
    <row r="9" spans="1:5" ht="13.5" thickBot="1" x14ac:dyDescent="0.2">
      <c r="A9" s="464"/>
      <c r="B9" s="465" t="s">
        <v>891</v>
      </c>
      <c r="C9" s="465" t="s">
        <v>84</v>
      </c>
      <c r="D9" s="466">
        <v>0.25</v>
      </c>
      <c r="E9" s="467"/>
    </row>
    <row r="10" spans="1:5" ht="13.5" thickBot="1" x14ac:dyDescent="0.2">
      <c r="A10" s="464"/>
      <c r="B10" s="465" t="s">
        <v>892</v>
      </c>
      <c r="C10" s="465" t="s">
        <v>84</v>
      </c>
      <c r="D10" s="466">
        <v>0.3</v>
      </c>
      <c r="E10" s="467"/>
    </row>
    <row r="11" spans="1:5" ht="13.5" thickBot="1" x14ac:dyDescent="0.2">
      <c r="A11" s="464"/>
      <c r="B11" s="465" t="s">
        <v>893</v>
      </c>
      <c r="C11" s="465" t="s">
        <v>84</v>
      </c>
      <c r="D11" s="466">
        <v>0.18</v>
      </c>
      <c r="E11" s="467"/>
    </row>
    <row r="12" spans="1:5" ht="13.5" thickBot="1" x14ac:dyDescent="0.2">
      <c r="A12" s="464"/>
      <c r="B12" s="465" t="s">
        <v>894</v>
      </c>
      <c r="C12" s="465" t="s">
        <v>84</v>
      </c>
      <c r="D12" s="466">
        <v>0.38</v>
      </c>
      <c r="E12" s="467"/>
    </row>
    <row r="13" spans="1:5" ht="13.5" thickBot="1" x14ac:dyDescent="0.2">
      <c r="A13" s="464"/>
      <c r="B13" s="465" t="s">
        <v>895</v>
      </c>
      <c r="C13" s="465" t="s">
        <v>84</v>
      </c>
      <c r="D13" s="466">
        <v>0.6</v>
      </c>
      <c r="E13" s="467"/>
    </row>
    <row r="14" spans="1:5" ht="13.5" thickBot="1" x14ac:dyDescent="0.2">
      <c r="A14" s="464"/>
      <c r="B14" s="465" t="s">
        <v>896</v>
      </c>
      <c r="C14" s="465" t="s">
        <v>84</v>
      </c>
      <c r="D14" s="466">
        <v>0.5</v>
      </c>
      <c r="E14" s="467"/>
    </row>
    <row r="15" spans="1:5" ht="13.5" thickBot="1" x14ac:dyDescent="0.2">
      <c r="A15" s="464"/>
      <c r="B15" s="465" t="s">
        <v>897</v>
      </c>
      <c r="C15" s="465" t="s">
        <v>84</v>
      </c>
      <c r="D15" s="466">
        <v>0.22</v>
      </c>
      <c r="E15" s="467"/>
    </row>
    <row r="16" spans="1:5" ht="13.5" thickBot="1" x14ac:dyDescent="0.2">
      <c r="A16" s="464"/>
      <c r="B16" s="465" t="s">
        <v>898</v>
      </c>
      <c r="C16" s="465" t="s">
        <v>84</v>
      </c>
      <c r="D16" s="466">
        <v>0.32</v>
      </c>
      <c r="E16" s="467"/>
    </row>
    <row r="17" spans="1:5" ht="13.5" thickBot="1" x14ac:dyDescent="0.2">
      <c r="A17" s="464"/>
      <c r="B17" s="465" t="s">
        <v>899</v>
      </c>
      <c r="C17" s="465"/>
      <c r="D17" s="465"/>
      <c r="E17" s="467"/>
    </row>
    <row r="18" spans="1:5" ht="13.5" thickBot="1" x14ac:dyDescent="0.2">
      <c r="A18" s="464"/>
      <c r="B18" s="465" t="s">
        <v>900</v>
      </c>
      <c r="C18" s="465" t="s">
        <v>84</v>
      </c>
      <c r="D18" s="466">
        <v>0.45</v>
      </c>
      <c r="E18" s="467"/>
    </row>
    <row r="19" spans="1:5" ht="13.5" thickBot="1" x14ac:dyDescent="0.2">
      <c r="A19" s="464"/>
      <c r="B19" s="465" t="s">
        <v>901</v>
      </c>
      <c r="C19" s="465" t="s">
        <v>84</v>
      </c>
      <c r="D19" s="466">
        <v>0.25</v>
      </c>
      <c r="E19" s="467"/>
    </row>
    <row r="20" spans="1:5" ht="13.5" thickBot="1" x14ac:dyDescent="0.2">
      <c r="A20" s="464"/>
      <c r="B20" s="465" t="s">
        <v>902</v>
      </c>
      <c r="C20" s="465" t="s">
        <v>84</v>
      </c>
      <c r="D20" s="466">
        <v>0.16</v>
      </c>
      <c r="E20" s="467"/>
    </row>
    <row r="21" spans="1:5" ht="13.5" thickBot="1" x14ac:dyDescent="0.2">
      <c r="A21" s="464" t="s">
        <v>903</v>
      </c>
      <c r="B21" s="465"/>
      <c r="C21" s="465"/>
      <c r="D21" s="465"/>
      <c r="E21" s="467"/>
    </row>
    <row r="22" spans="1:5" ht="13.5" thickBot="1" x14ac:dyDescent="0.2">
      <c r="A22" s="464"/>
      <c r="B22" s="465" t="s">
        <v>904</v>
      </c>
      <c r="C22" s="465" t="s">
        <v>78</v>
      </c>
      <c r="D22" s="466">
        <v>0.08</v>
      </c>
      <c r="E22" s="467"/>
    </row>
    <row r="23" spans="1:5" ht="13.5" thickBot="1" x14ac:dyDescent="0.2">
      <c r="A23" s="464"/>
      <c r="B23" s="465" t="s">
        <v>905</v>
      </c>
      <c r="C23" s="465" t="s">
        <v>78</v>
      </c>
      <c r="D23" s="466">
        <v>0.08</v>
      </c>
      <c r="E23" s="467"/>
    </row>
    <row r="24" spans="1:5" ht="13.5" thickBot="1" x14ac:dyDescent="0.2">
      <c r="A24" s="464"/>
      <c r="B24" s="465" t="s">
        <v>906</v>
      </c>
      <c r="C24" s="465" t="s">
        <v>78</v>
      </c>
      <c r="D24" s="466">
        <v>0.11</v>
      </c>
      <c r="E24" s="467"/>
    </row>
    <row r="25" spans="1:5" ht="13.5" thickBot="1" x14ac:dyDescent="0.2">
      <c r="A25" s="464"/>
      <c r="B25" s="465" t="s">
        <v>907</v>
      </c>
      <c r="C25" s="465" t="s">
        <v>78</v>
      </c>
      <c r="D25" s="466">
        <v>0.11</v>
      </c>
      <c r="E25" s="467"/>
    </row>
    <row r="26" spans="1:5" ht="13.5" thickBot="1" x14ac:dyDescent="0.2">
      <c r="A26" s="464"/>
      <c r="B26" s="465" t="s">
        <v>908</v>
      </c>
      <c r="C26" s="465" t="s">
        <v>78</v>
      </c>
      <c r="D26" s="466">
        <v>0.2</v>
      </c>
      <c r="E26" s="467"/>
    </row>
    <row r="27" spans="1:5" ht="13.5" thickBot="1" x14ac:dyDescent="0.2">
      <c r="A27" s="464" t="s">
        <v>909</v>
      </c>
      <c r="B27" s="465"/>
      <c r="C27" s="465"/>
      <c r="D27" s="465"/>
      <c r="E27" s="467"/>
    </row>
    <row r="28" spans="1:5" ht="13.5" thickBot="1" x14ac:dyDescent="0.2">
      <c r="A28" s="464"/>
      <c r="B28" s="465" t="s">
        <v>886</v>
      </c>
      <c r="C28" s="465" t="s">
        <v>84</v>
      </c>
      <c r="D28" s="466">
        <v>0.22</v>
      </c>
      <c r="E28" s="467"/>
    </row>
    <row r="29" spans="1:5" ht="13.5" thickBot="1" x14ac:dyDescent="0.2">
      <c r="A29" s="464"/>
      <c r="B29" s="465" t="s">
        <v>891</v>
      </c>
      <c r="C29" s="465" t="s">
        <v>84</v>
      </c>
      <c r="D29" s="466">
        <v>0.28000000000000003</v>
      </c>
      <c r="E29" s="467"/>
    </row>
    <row r="30" spans="1:5" ht="13.5" thickBot="1" x14ac:dyDescent="0.2">
      <c r="A30" s="464"/>
      <c r="B30" s="465" t="s">
        <v>893</v>
      </c>
      <c r="C30" s="465" t="s">
        <v>84</v>
      </c>
      <c r="D30" s="466">
        <v>0.2</v>
      </c>
      <c r="E30" s="467"/>
    </row>
    <row r="31" spans="1:5" ht="13.5" thickBot="1" x14ac:dyDescent="0.2">
      <c r="A31" s="464"/>
      <c r="B31" s="465" t="s">
        <v>892</v>
      </c>
      <c r="C31" s="465" t="s">
        <v>84</v>
      </c>
      <c r="D31" s="466">
        <v>0.4</v>
      </c>
      <c r="E31" s="467"/>
    </row>
    <row r="32" spans="1:5" ht="13.5" thickBot="1" x14ac:dyDescent="0.2">
      <c r="A32" s="464"/>
      <c r="B32" s="465" t="s">
        <v>910</v>
      </c>
      <c r="C32" s="465" t="s">
        <v>84</v>
      </c>
      <c r="D32" s="466">
        <v>0.5</v>
      </c>
      <c r="E32" s="467"/>
    </row>
    <row r="33" spans="1:5" ht="13.5" thickBot="1" x14ac:dyDescent="0.2">
      <c r="A33" s="464"/>
      <c r="B33" s="465" t="s">
        <v>897</v>
      </c>
      <c r="C33" s="465" t="s">
        <v>84</v>
      </c>
      <c r="D33" s="466">
        <v>0.3</v>
      </c>
      <c r="E33" s="467"/>
    </row>
    <row r="34" spans="1:5" ht="13.5" thickBot="1" x14ac:dyDescent="0.2">
      <c r="A34" s="464"/>
      <c r="B34" s="465" t="s">
        <v>898</v>
      </c>
      <c r="C34" s="465" t="s">
        <v>84</v>
      </c>
      <c r="D34" s="466">
        <v>0.35</v>
      </c>
      <c r="E34" s="467"/>
    </row>
    <row r="35" spans="1:5" ht="13.5" thickBot="1" x14ac:dyDescent="0.2">
      <c r="A35" s="464"/>
      <c r="B35" s="465" t="s">
        <v>911</v>
      </c>
      <c r="C35" s="465" t="s">
        <v>84</v>
      </c>
      <c r="D35" s="466">
        <v>0.38</v>
      </c>
      <c r="E35" s="467"/>
    </row>
    <row r="36" spans="1:5" ht="13.5" thickBot="1" x14ac:dyDescent="0.2">
      <c r="A36" s="464" t="s">
        <v>912</v>
      </c>
      <c r="B36" s="465"/>
      <c r="C36" s="465"/>
      <c r="D36" s="465"/>
      <c r="E36" s="467"/>
    </row>
    <row r="37" spans="1:5" ht="13.5" thickBot="1" x14ac:dyDescent="0.2">
      <c r="A37" s="464"/>
      <c r="B37" s="465" t="s">
        <v>904</v>
      </c>
      <c r="C37" s="465" t="s">
        <v>78</v>
      </c>
      <c r="D37" s="466">
        <v>0.08</v>
      </c>
      <c r="E37" s="467"/>
    </row>
    <row r="38" spans="1:5" ht="13.5" thickBot="1" x14ac:dyDescent="0.2">
      <c r="A38" s="464"/>
      <c r="B38" s="465" t="s">
        <v>905</v>
      </c>
      <c r="C38" s="465" t="s">
        <v>78</v>
      </c>
      <c r="D38" s="466">
        <v>0.08</v>
      </c>
      <c r="E38" s="467"/>
    </row>
    <row r="39" spans="1:5" ht="14.25" x14ac:dyDescent="0.15">
      <c r="A39" s="468"/>
    </row>
    <row r="40" spans="1:5" ht="15" thickBot="1" x14ac:dyDescent="0.2">
      <c r="A40" s="468"/>
    </row>
    <row r="41" spans="1:5" ht="15.75" thickBot="1" x14ac:dyDescent="0.25">
      <c r="A41" s="470" t="s">
        <v>913</v>
      </c>
      <c r="B41" s="471" t="s">
        <v>914</v>
      </c>
      <c r="C41" s="471" t="s">
        <v>915</v>
      </c>
      <c r="D41" s="471" t="s">
        <v>916</v>
      </c>
      <c r="E41" s="472" t="s">
        <v>917</v>
      </c>
    </row>
    <row r="42" spans="1:5" ht="13.5" thickBot="1" x14ac:dyDescent="0.2">
      <c r="A42" s="473" t="s">
        <v>918</v>
      </c>
      <c r="B42" s="469" t="s">
        <v>919</v>
      </c>
      <c r="C42" s="469" t="s">
        <v>920</v>
      </c>
      <c r="D42" s="469" t="s">
        <v>921</v>
      </c>
      <c r="E42" s="474" t="s">
        <v>922</v>
      </c>
    </row>
    <row r="43" spans="1:5" ht="13.5" thickBot="1" x14ac:dyDescent="0.2">
      <c r="A43" s="473" t="s">
        <v>923</v>
      </c>
      <c r="B43" s="469" t="s">
        <v>924</v>
      </c>
      <c r="C43" s="469" t="s">
        <v>925</v>
      </c>
      <c r="D43" s="469" t="s">
        <v>926</v>
      </c>
      <c r="E43" s="474" t="s">
        <v>927</v>
      </c>
    </row>
    <row r="44" spans="1:5" ht="25.5" thickBot="1" x14ac:dyDescent="0.2">
      <c r="A44" s="473" t="s">
        <v>928</v>
      </c>
      <c r="B44" s="469" t="s">
        <v>929</v>
      </c>
      <c r="C44" s="469" t="s">
        <v>930</v>
      </c>
      <c r="D44" s="469" t="s">
        <v>931</v>
      </c>
      <c r="E44" s="474" t="s">
        <v>927</v>
      </c>
    </row>
    <row r="45" spans="1:5" ht="13.5" thickBot="1" x14ac:dyDescent="0.2">
      <c r="A45" s="473" t="s">
        <v>932</v>
      </c>
      <c r="B45" s="469" t="s">
        <v>933</v>
      </c>
      <c r="C45" s="469" t="s">
        <v>934</v>
      </c>
      <c r="D45" s="469" t="s">
        <v>935</v>
      </c>
      <c r="E45" s="474" t="s">
        <v>927</v>
      </c>
    </row>
    <row r="46" spans="1:5" ht="25.5" thickBot="1" x14ac:dyDescent="0.2">
      <c r="A46" s="473" t="s">
        <v>936</v>
      </c>
      <c r="B46" s="469" t="s">
        <v>937</v>
      </c>
      <c r="C46" s="469" t="s">
        <v>938</v>
      </c>
      <c r="D46" s="469" t="s">
        <v>939</v>
      </c>
      <c r="E46" s="474" t="s">
        <v>927</v>
      </c>
    </row>
    <row r="47" spans="1:5" ht="25.5" thickBot="1" x14ac:dyDescent="0.2">
      <c r="A47" s="473" t="s">
        <v>940</v>
      </c>
      <c r="B47" s="469" t="s">
        <v>941</v>
      </c>
      <c r="C47" s="469" t="s">
        <v>929</v>
      </c>
      <c r="D47" s="469" t="s">
        <v>942</v>
      </c>
      <c r="E47" s="474" t="s">
        <v>927</v>
      </c>
    </row>
    <row r="48" spans="1:5" ht="25.5" thickBot="1" x14ac:dyDescent="0.2">
      <c r="A48" s="473" t="s">
        <v>943</v>
      </c>
      <c r="B48" s="469" t="s">
        <v>944</v>
      </c>
      <c r="C48" s="469" t="s">
        <v>945</v>
      </c>
      <c r="D48" s="469" t="s">
        <v>946</v>
      </c>
      <c r="E48" s="474" t="s">
        <v>927</v>
      </c>
    </row>
    <row r="49" spans="1:5" ht="25.5" thickBot="1" x14ac:dyDescent="0.2">
      <c r="A49" s="473" t="s">
        <v>947</v>
      </c>
      <c r="B49" s="469" t="s">
        <v>937</v>
      </c>
      <c r="C49" s="469" t="s">
        <v>948</v>
      </c>
      <c r="D49" s="469" t="s">
        <v>949</v>
      </c>
      <c r="E49" s="474" t="s">
        <v>927</v>
      </c>
    </row>
    <row r="50" spans="1:5" ht="25.5" thickBot="1" x14ac:dyDescent="0.2">
      <c r="A50" s="473" t="s">
        <v>950</v>
      </c>
      <c r="B50" s="469" t="s">
        <v>951</v>
      </c>
      <c r="C50" s="469" t="s">
        <v>952</v>
      </c>
      <c r="D50" s="469" t="s">
        <v>953</v>
      </c>
      <c r="E50" s="474" t="s">
        <v>927</v>
      </c>
    </row>
    <row r="51" spans="1:5" ht="25.5" thickBot="1" x14ac:dyDescent="0.2">
      <c r="A51" s="473" t="s">
        <v>954</v>
      </c>
      <c r="B51" s="469" t="s">
        <v>941</v>
      </c>
      <c r="C51" s="469" t="s">
        <v>929</v>
      </c>
      <c r="D51" s="469" t="s">
        <v>924</v>
      </c>
      <c r="E51" s="474" t="s">
        <v>927</v>
      </c>
    </row>
    <row r="52" spans="1:5" ht="25.5" thickBot="1" x14ac:dyDescent="0.2">
      <c r="A52" s="473" t="s">
        <v>955</v>
      </c>
      <c r="B52" s="469" t="s">
        <v>952</v>
      </c>
      <c r="C52" s="469" t="s">
        <v>956</v>
      </c>
      <c r="D52" s="469" t="s">
        <v>957</v>
      </c>
      <c r="E52" s="474" t="s">
        <v>927</v>
      </c>
    </row>
    <row r="53" spans="1:5" ht="25.5" thickBot="1" x14ac:dyDescent="0.2">
      <c r="A53" s="473" t="s">
        <v>958</v>
      </c>
      <c r="B53" s="469" t="s">
        <v>959</v>
      </c>
      <c r="C53" s="469" t="s">
        <v>951</v>
      </c>
      <c r="D53" s="469" t="s">
        <v>960</v>
      </c>
      <c r="E53" s="474" t="s">
        <v>927</v>
      </c>
    </row>
    <row r="54" spans="1:5" ht="13.5" thickBot="1" x14ac:dyDescent="0.2">
      <c r="A54" s="473" t="s">
        <v>961</v>
      </c>
      <c r="B54" s="469" t="s">
        <v>919</v>
      </c>
      <c r="C54" s="469" t="s">
        <v>962</v>
      </c>
      <c r="D54" s="469" t="s">
        <v>963</v>
      </c>
      <c r="E54" s="474" t="s">
        <v>922</v>
      </c>
    </row>
    <row r="55" spans="1:5" ht="13.5" thickBot="1" x14ac:dyDescent="0.2">
      <c r="A55" s="473" t="s">
        <v>964</v>
      </c>
      <c r="B55" s="469" t="s">
        <v>956</v>
      </c>
      <c r="C55" s="469" t="s">
        <v>965</v>
      </c>
      <c r="D55" s="469" t="s">
        <v>966</v>
      </c>
      <c r="E55" s="474" t="s">
        <v>922</v>
      </c>
    </row>
    <row r="56" spans="1:5" ht="13.5" thickBot="1" x14ac:dyDescent="0.2">
      <c r="A56" s="473" t="s">
        <v>967</v>
      </c>
      <c r="B56" s="469" t="s">
        <v>960</v>
      </c>
      <c r="C56" s="469" t="s">
        <v>939</v>
      </c>
      <c r="D56" s="469" t="s">
        <v>968</v>
      </c>
      <c r="E56" s="474" t="s">
        <v>922</v>
      </c>
    </row>
    <row r="57" spans="1:5" ht="13.5" thickBot="1" x14ac:dyDescent="0.2">
      <c r="A57" s="473" t="s">
        <v>969</v>
      </c>
      <c r="B57" s="469" t="s">
        <v>931</v>
      </c>
      <c r="C57" s="469" t="s">
        <v>970</v>
      </c>
      <c r="D57" s="469" t="s">
        <v>971</v>
      </c>
      <c r="E57" s="474" t="s">
        <v>922</v>
      </c>
    </row>
    <row r="58" spans="1:5" ht="13.5" thickBot="1" x14ac:dyDescent="0.2">
      <c r="A58" s="473" t="s">
        <v>972</v>
      </c>
      <c r="B58" s="469" t="s">
        <v>937</v>
      </c>
      <c r="C58" s="469" t="s">
        <v>973</v>
      </c>
      <c r="D58" s="469" t="s">
        <v>937</v>
      </c>
      <c r="E58" s="474" t="s">
        <v>922</v>
      </c>
    </row>
    <row r="59" spans="1:5" ht="13.5" thickBot="1" x14ac:dyDescent="0.2">
      <c r="A59" s="473" t="s">
        <v>974</v>
      </c>
      <c r="B59" s="469" t="s">
        <v>937</v>
      </c>
      <c r="C59" s="469" t="s">
        <v>975</v>
      </c>
      <c r="D59" s="469" t="s">
        <v>937</v>
      </c>
      <c r="E59" s="474" t="s">
        <v>922</v>
      </c>
    </row>
    <row r="60" spans="1:5" ht="13.5" thickBot="1" x14ac:dyDescent="0.2">
      <c r="A60" s="473" t="s">
        <v>976</v>
      </c>
      <c r="B60" s="469" t="s">
        <v>937</v>
      </c>
      <c r="C60" s="469" t="s">
        <v>977</v>
      </c>
      <c r="D60" s="469" t="s">
        <v>937</v>
      </c>
      <c r="E60" s="474" t="s">
        <v>978</v>
      </c>
    </row>
    <row r="61" spans="1:5" ht="25.5" thickBot="1" x14ac:dyDescent="0.2">
      <c r="A61" s="473" t="s">
        <v>979</v>
      </c>
      <c r="B61" s="469" t="s">
        <v>937</v>
      </c>
      <c r="C61" s="469" t="s">
        <v>941</v>
      </c>
      <c r="D61" s="469" t="s">
        <v>937</v>
      </c>
      <c r="E61" s="474" t="s">
        <v>980</v>
      </c>
    </row>
    <row r="62" spans="1:5" ht="25.5" thickBot="1" x14ac:dyDescent="0.2">
      <c r="A62" s="473" t="s">
        <v>981</v>
      </c>
      <c r="B62" s="469" t="s">
        <v>937</v>
      </c>
      <c r="C62" s="469" t="s">
        <v>982</v>
      </c>
      <c r="D62" s="469" t="s">
        <v>937</v>
      </c>
      <c r="E62" s="474" t="s">
        <v>980</v>
      </c>
    </row>
    <row r="63" spans="1:5" ht="25.5" thickBot="1" x14ac:dyDescent="0.2">
      <c r="A63" s="473" t="s">
        <v>983</v>
      </c>
      <c r="B63" s="469" t="s">
        <v>937</v>
      </c>
      <c r="C63" s="469" t="s">
        <v>946</v>
      </c>
      <c r="D63" s="469" t="s">
        <v>937</v>
      </c>
      <c r="E63" s="474" t="s">
        <v>980</v>
      </c>
    </row>
    <row r="64" spans="1:5" ht="25.5" thickBot="1" x14ac:dyDescent="0.2">
      <c r="A64" s="473" t="s">
        <v>984</v>
      </c>
      <c r="B64" s="469" t="s">
        <v>937</v>
      </c>
      <c r="C64" s="469" t="s">
        <v>946</v>
      </c>
      <c r="D64" s="469" t="s">
        <v>937</v>
      </c>
      <c r="E64" s="474" t="s">
        <v>980</v>
      </c>
    </row>
    <row r="65" spans="1:5" ht="25.5" thickBot="1" x14ac:dyDescent="0.2">
      <c r="A65" s="473" t="s">
        <v>985</v>
      </c>
      <c r="B65" s="469" t="s">
        <v>937</v>
      </c>
      <c r="C65" s="469" t="s">
        <v>986</v>
      </c>
      <c r="D65" s="469" t="s">
        <v>937</v>
      </c>
      <c r="E65" s="474" t="s">
        <v>980</v>
      </c>
    </row>
    <row r="66" spans="1:5" ht="25.5" thickBot="1" x14ac:dyDescent="0.2">
      <c r="A66" s="473" t="s">
        <v>987</v>
      </c>
      <c r="B66" s="469" t="s">
        <v>937</v>
      </c>
      <c r="C66" s="469" t="s">
        <v>946</v>
      </c>
      <c r="D66" s="469" t="s">
        <v>937</v>
      </c>
      <c r="E66" s="474" t="s">
        <v>980</v>
      </c>
    </row>
    <row r="67" spans="1:5" ht="25.5" thickBot="1" x14ac:dyDescent="0.2">
      <c r="A67" s="475" t="s">
        <v>988</v>
      </c>
      <c r="B67" s="476" t="s">
        <v>937</v>
      </c>
      <c r="C67" s="476" t="s">
        <v>989</v>
      </c>
      <c r="D67" s="476" t="s">
        <v>937</v>
      </c>
      <c r="E67" s="477" t="s">
        <v>980</v>
      </c>
    </row>
    <row r="70" spans="1:5" ht="51.75" x14ac:dyDescent="0.35">
      <c r="A70" s="479" t="s">
        <v>1022</v>
      </c>
    </row>
    <row r="71" spans="1:5" ht="15" thickBot="1" x14ac:dyDescent="0.2">
      <c r="A71" s="480"/>
    </row>
    <row r="72" spans="1:5" ht="28.5" thickBot="1" x14ac:dyDescent="0.25">
      <c r="A72" s="481" t="s">
        <v>742</v>
      </c>
      <c r="B72" s="481" t="s">
        <v>991</v>
      </c>
      <c r="C72" s="481" t="s">
        <v>882</v>
      </c>
      <c r="D72" s="481" t="s">
        <v>883</v>
      </c>
      <c r="E72" s="481" t="s">
        <v>884</v>
      </c>
    </row>
    <row r="73" spans="1:5" ht="13.5" thickBot="1" x14ac:dyDescent="0.2">
      <c r="A73" s="482" t="s">
        <v>992</v>
      </c>
      <c r="B73" s="483"/>
      <c r="C73" s="483"/>
      <c r="D73" s="484"/>
      <c r="E73" s="485"/>
    </row>
    <row r="74" spans="1:5" ht="13.5" thickBot="1" x14ac:dyDescent="0.2">
      <c r="A74" s="482" t="s">
        <v>993</v>
      </c>
      <c r="B74" s="483" t="s">
        <v>994</v>
      </c>
      <c r="C74" s="483" t="s">
        <v>84</v>
      </c>
      <c r="D74" s="484">
        <v>1</v>
      </c>
      <c r="E74" s="485"/>
    </row>
    <row r="75" spans="1:5" ht="13.5" thickBot="1" x14ac:dyDescent="0.2">
      <c r="A75" s="482"/>
      <c r="B75" s="483" t="s">
        <v>995</v>
      </c>
      <c r="C75" s="483" t="s">
        <v>84</v>
      </c>
      <c r="D75" s="484">
        <v>0.85</v>
      </c>
      <c r="E75" s="485"/>
    </row>
    <row r="76" spans="1:5" ht="13.5" thickBot="1" x14ac:dyDescent="0.2">
      <c r="A76" s="482" t="s">
        <v>996</v>
      </c>
      <c r="B76" s="483" t="s">
        <v>994</v>
      </c>
      <c r="C76" s="483" t="s">
        <v>84</v>
      </c>
      <c r="D76" s="484">
        <v>1.05</v>
      </c>
      <c r="E76" s="485"/>
    </row>
    <row r="77" spans="1:5" ht="13.5" thickBot="1" x14ac:dyDescent="0.2">
      <c r="A77" s="482"/>
      <c r="B77" s="483" t="s">
        <v>995</v>
      </c>
      <c r="C77" s="483" t="s">
        <v>84</v>
      </c>
      <c r="D77" s="484">
        <v>0.85</v>
      </c>
      <c r="E77" s="485"/>
    </row>
    <row r="78" spans="1:5" ht="13.5" thickBot="1" x14ac:dyDescent="0.2">
      <c r="A78" s="482" t="s">
        <v>997</v>
      </c>
      <c r="B78" s="483" t="s">
        <v>994</v>
      </c>
      <c r="C78" s="483" t="s">
        <v>84</v>
      </c>
      <c r="D78" s="484">
        <v>0.65</v>
      </c>
      <c r="E78" s="485"/>
    </row>
    <row r="79" spans="1:5" ht="13.5" thickBot="1" x14ac:dyDescent="0.2">
      <c r="A79" s="482"/>
      <c r="B79" s="483" t="s">
        <v>995</v>
      </c>
      <c r="C79" s="483" t="s">
        <v>84</v>
      </c>
      <c r="D79" s="484">
        <v>0.5</v>
      </c>
      <c r="E79" s="485"/>
    </row>
    <row r="80" spans="1:5" ht="13.5" thickBot="1" x14ac:dyDescent="0.2">
      <c r="A80" s="482" t="s">
        <v>998</v>
      </c>
      <c r="B80" s="483"/>
      <c r="C80" s="483" t="s">
        <v>84</v>
      </c>
      <c r="D80" s="484">
        <v>1</v>
      </c>
      <c r="E80" s="485"/>
    </row>
    <row r="81" spans="1:5" ht="13.5" thickBot="1" x14ac:dyDescent="0.2">
      <c r="A81" s="482"/>
      <c r="B81" s="483" t="s">
        <v>999</v>
      </c>
      <c r="C81" s="483"/>
      <c r="D81" s="483"/>
      <c r="E81" s="485"/>
    </row>
    <row r="82" spans="1:5" ht="13.5" thickBot="1" x14ac:dyDescent="0.2">
      <c r="A82" s="482"/>
      <c r="B82" s="483" t="s">
        <v>1000</v>
      </c>
      <c r="C82" s="483" t="s">
        <v>84</v>
      </c>
      <c r="D82" s="484">
        <v>0.35</v>
      </c>
      <c r="E82" s="485"/>
    </row>
    <row r="83" spans="1:5" ht="13.5" thickBot="1" x14ac:dyDescent="0.2">
      <c r="A83" s="482"/>
      <c r="B83" s="483" t="s">
        <v>1001</v>
      </c>
      <c r="C83" s="483" t="s">
        <v>84</v>
      </c>
      <c r="D83" s="484">
        <v>0.35</v>
      </c>
      <c r="E83" s="485"/>
    </row>
    <row r="84" spans="1:5" ht="13.5" thickBot="1" x14ac:dyDescent="0.2">
      <c r="A84" s="482"/>
      <c r="B84" s="483" t="s">
        <v>1002</v>
      </c>
      <c r="C84" s="483" t="s">
        <v>84</v>
      </c>
      <c r="D84" s="484">
        <v>0.45</v>
      </c>
      <c r="E84" s="485"/>
    </row>
    <row r="85" spans="1:5" ht="13.5" thickBot="1" x14ac:dyDescent="0.2">
      <c r="A85" s="482"/>
      <c r="B85" s="483" t="s">
        <v>1003</v>
      </c>
      <c r="C85" s="483" t="s">
        <v>84</v>
      </c>
      <c r="D85" s="484">
        <v>0.9</v>
      </c>
      <c r="E85" s="485"/>
    </row>
    <row r="86" spans="1:5" ht="13.5" thickBot="1" x14ac:dyDescent="0.2">
      <c r="A86" s="482" t="s">
        <v>1004</v>
      </c>
      <c r="B86" s="483"/>
      <c r="C86" s="483"/>
      <c r="D86" s="483"/>
      <c r="E86" s="485"/>
    </row>
    <row r="87" spans="1:5" ht="13.5" thickBot="1" x14ac:dyDescent="0.2">
      <c r="A87" s="482"/>
      <c r="B87" s="483" t="s">
        <v>1005</v>
      </c>
      <c r="C87" s="483" t="s">
        <v>84</v>
      </c>
      <c r="D87" s="484">
        <v>0.08</v>
      </c>
      <c r="E87" s="485"/>
    </row>
    <row r="88" spans="1:5" ht="13.5" thickBot="1" x14ac:dyDescent="0.2">
      <c r="A88" s="482"/>
      <c r="B88" s="483" t="s">
        <v>1006</v>
      </c>
      <c r="C88" s="483" t="s">
        <v>84</v>
      </c>
      <c r="D88" s="484">
        <v>0.15</v>
      </c>
      <c r="E88" s="485"/>
    </row>
    <row r="89" spans="1:5" ht="13.5" thickBot="1" x14ac:dyDescent="0.2">
      <c r="A89" s="482"/>
      <c r="B89" s="483" t="s">
        <v>1007</v>
      </c>
      <c r="C89" s="483" t="s">
        <v>84</v>
      </c>
      <c r="D89" s="484">
        <v>0.06</v>
      </c>
      <c r="E89" s="485"/>
    </row>
    <row r="90" spans="1:5" ht="13.5" thickBot="1" x14ac:dyDescent="0.2">
      <c r="A90" s="482"/>
      <c r="B90" s="483" t="s">
        <v>1008</v>
      </c>
      <c r="C90" s="483" t="s">
        <v>84</v>
      </c>
      <c r="D90" s="484">
        <v>0.09</v>
      </c>
      <c r="E90" s="485"/>
    </row>
    <row r="91" spans="1:5" ht="13.5" thickBot="1" x14ac:dyDescent="0.2">
      <c r="A91" s="482" t="s">
        <v>1009</v>
      </c>
      <c r="B91" s="483"/>
      <c r="C91" s="483"/>
      <c r="D91" s="483"/>
      <c r="E91" s="485"/>
    </row>
    <row r="92" spans="1:5" ht="13.5" thickBot="1" x14ac:dyDescent="0.2">
      <c r="A92" s="482"/>
      <c r="B92" s="483" t="s">
        <v>1010</v>
      </c>
      <c r="C92" s="483" t="s">
        <v>84</v>
      </c>
      <c r="D92" s="484">
        <v>0.52</v>
      </c>
      <c r="E92" s="485"/>
    </row>
    <row r="93" spans="1:5" ht="13.5" thickBot="1" x14ac:dyDescent="0.2">
      <c r="A93" s="482" t="s">
        <v>1011</v>
      </c>
      <c r="B93" s="483"/>
      <c r="C93" s="483"/>
      <c r="D93" s="483"/>
      <c r="E93" s="485"/>
    </row>
    <row r="94" spans="1:5" ht="13.5" thickBot="1" x14ac:dyDescent="0.2">
      <c r="A94" s="482"/>
      <c r="B94" s="483" t="s">
        <v>1012</v>
      </c>
      <c r="C94" s="483" t="s">
        <v>84</v>
      </c>
      <c r="D94" s="484">
        <v>0.9</v>
      </c>
      <c r="E94" s="485"/>
    </row>
    <row r="95" spans="1:5" ht="13.5" thickBot="1" x14ac:dyDescent="0.2">
      <c r="A95" s="482"/>
      <c r="B95" s="483" t="s">
        <v>1013</v>
      </c>
      <c r="C95" s="483" t="s">
        <v>84</v>
      </c>
      <c r="D95" s="484">
        <v>1.2</v>
      </c>
      <c r="E95" s="485"/>
    </row>
    <row r="96" spans="1:5" ht="13.5" thickBot="1" x14ac:dyDescent="0.2">
      <c r="A96" s="482"/>
      <c r="B96" s="483" t="s">
        <v>1014</v>
      </c>
      <c r="C96" s="483" t="s">
        <v>84</v>
      </c>
      <c r="D96" s="484">
        <v>1</v>
      </c>
      <c r="E96" s="485"/>
    </row>
    <row r="97" spans="1:5" ht="13.5" thickBot="1" x14ac:dyDescent="0.2">
      <c r="A97" s="482" t="s">
        <v>1015</v>
      </c>
      <c r="B97" s="483"/>
      <c r="C97" s="483"/>
      <c r="D97" s="483"/>
      <c r="E97" s="485"/>
    </row>
    <row r="98" spans="1:5" ht="13.5" thickBot="1" x14ac:dyDescent="0.2">
      <c r="A98" s="482"/>
      <c r="B98" s="483" t="s">
        <v>1016</v>
      </c>
      <c r="C98" s="483" t="s">
        <v>78</v>
      </c>
      <c r="D98" s="484">
        <v>0.26</v>
      </c>
      <c r="E98" s="485"/>
    </row>
    <row r="99" spans="1:5" ht="13.5" thickBot="1" x14ac:dyDescent="0.2">
      <c r="A99" s="482"/>
      <c r="B99" s="483" t="s">
        <v>1017</v>
      </c>
      <c r="C99" s="483" t="s">
        <v>78</v>
      </c>
      <c r="D99" s="484">
        <v>0.33</v>
      </c>
      <c r="E99" s="485"/>
    </row>
    <row r="100" spans="1:5" ht="13.5" thickBot="1" x14ac:dyDescent="0.2">
      <c r="A100" s="482"/>
      <c r="B100" s="483" t="s">
        <v>1018</v>
      </c>
      <c r="C100" s="483" t="s">
        <v>78</v>
      </c>
      <c r="D100" s="484">
        <v>0.17</v>
      </c>
      <c r="E100" s="485"/>
    </row>
    <row r="101" spans="1:5" ht="13.5" thickBot="1" x14ac:dyDescent="0.2">
      <c r="A101" s="482"/>
      <c r="B101" s="483" t="s">
        <v>1019</v>
      </c>
      <c r="C101" s="483"/>
      <c r="D101" s="483"/>
      <c r="E101" s="485"/>
    </row>
    <row r="102" spans="1:5" ht="13.5" thickBot="1" x14ac:dyDescent="0.2">
      <c r="A102" s="482"/>
      <c r="B102" s="483" t="s">
        <v>1020</v>
      </c>
      <c r="C102" s="483" t="s">
        <v>78</v>
      </c>
      <c r="D102" s="484">
        <v>0.15</v>
      </c>
      <c r="E102" s="485"/>
    </row>
    <row r="103" spans="1:5" ht="13.5" thickBot="1" x14ac:dyDescent="0.2">
      <c r="A103" s="482"/>
      <c r="B103" s="483" t="s">
        <v>1021</v>
      </c>
      <c r="C103" s="483"/>
      <c r="D103" s="483"/>
      <c r="E103" s="485"/>
    </row>
    <row r="106" spans="1:5" ht="26.25" x14ac:dyDescent="0.15">
      <c r="A106" s="486" t="s">
        <v>1050</v>
      </c>
    </row>
    <row r="107" spans="1:5" ht="13.5" thickBot="1" x14ac:dyDescent="0.2">
      <c r="A107" s="487"/>
    </row>
    <row r="108" spans="1:5" ht="28.5" thickBot="1" x14ac:dyDescent="0.25">
      <c r="A108" s="481" t="s">
        <v>742</v>
      </c>
      <c r="B108" s="481" t="s">
        <v>741</v>
      </c>
      <c r="C108" s="481" t="s">
        <v>882</v>
      </c>
      <c r="D108" s="481" t="s">
        <v>883</v>
      </c>
      <c r="E108" s="481" t="s">
        <v>884</v>
      </c>
    </row>
    <row r="109" spans="1:5" ht="13.5" thickBot="1" x14ac:dyDescent="0.2">
      <c r="A109" s="482" t="s">
        <v>1023</v>
      </c>
      <c r="B109" s="483" t="s">
        <v>1024</v>
      </c>
      <c r="C109" s="483" t="s">
        <v>78</v>
      </c>
      <c r="D109" s="484">
        <v>0.2</v>
      </c>
      <c r="E109" s="485"/>
    </row>
    <row r="110" spans="1:5" ht="13.5" thickBot="1" x14ac:dyDescent="0.2">
      <c r="A110" s="482"/>
      <c r="B110" s="483" t="s">
        <v>1025</v>
      </c>
      <c r="C110" s="483" t="s">
        <v>78</v>
      </c>
      <c r="D110" s="484">
        <v>0.2</v>
      </c>
      <c r="E110" s="485"/>
    </row>
    <row r="111" spans="1:5" ht="13.5" thickBot="1" x14ac:dyDescent="0.2">
      <c r="A111" s="482" t="s">
        <v>1026</v>
      </c>
      <c r="B111" s="483" t="s">
        <v>1024</v>
      </c>
      <c r="C111" s="483" t="s">
        <v>78</v>
      </c>
      <c r="D111" s="484">
        <v>0.21</v>
      </c>
      <c r="E111" s="485"/>
    </row>
    <row r="112" spans="1:5" ht="13.5" thickBot="1" x14ac:dyDescent="0.2">
      <c r="A112" s="482" t="s">
        <v>912</v>
      </c>
      <c r="B112" s="483" t="s">
        <v>1027</v>
      </c>
      <c r="C112" s="483" t="s">
        <v>78</v>
      </c>
      <c r="D112" s="484">
        <v>0.08</v>
      </c>
      <c r="E112" s="485"/>
    </row>
    <row r="113" spans="1:5" ht="13.5" thickBot="1" x14ac:dyDescent="0.2">
      <c r="A113" s="482"/>
      <c r="B113" s="483" t="s">
        <v>1028</v>
      </c>
      <c r="C113" s="483" t="s">
        <v>78</v>
      </c>
      <c r="D113" s="484">
        <v>0.1</v>
      </c>
      <c r="E113" s="485"/>
    </row>
    <row r="114" spans="1:5" ht="13.5" thickBot="1" x14ac:dyDescent="0.2">
      <c r="A114" s="482" t="s">
        <v>1029</v>
      </c>
      <c r="B114" s="483" t="s">
        <v>1024</v>
      </c>
      <c r="C114" s="483" t="s">
        <v>78</v>
      </c>
      <c r="D114" s="484">
        <v>0.18</v>
      </c>
      <c r="E114" s="485"/>
    </row>
    <row r="115" spans="1:5" ht="13.5" thickBot="1" x14ac:dyDescent="0.2">
      <c r="A115" s="482"/>
      <c r="B115" s="483" t="s">
        <v>1025</v>
      </c>
      <c r="C115" s="483" t="s">
        <v>78</v>
      </c>
      <c r="D115" s="484">
        <v>0.2</v>
      </c>
      <c r="E115" s="485"/>
    </row>
    <row r="116" spans="1:5" ht="13.5" thickBot="1" x14ac:dyDescent="0.2">
      <c r="A116" s="482"/>
      <c r="B116" s="483" t="s">
        <v>1030</v>
      </c>
      <c r="C116" s="483" t="s">
        <v>78</v>
      </c>
      <c r="D116" s="484">
        <v>0.22</v>
      </c>
      <c r="E116" s="485"/>
    </row>
    <row r="117" spans="1:5" ht="13.5" thickBot="1" x14ac:dyDescent="0.2">
      <c r="A117" s="482" t="s">
        <v>1031</v>
      </c>
      <c r="B117" s="483" t="s">
        <v>994</v>
      </c>
      <c r="C117" s="483" t="s">
        <v>78</v>
      </c>
      <c r="D117" s="484">
        <v>0.17</v>
      </c>
      <c r="E117" s="485"/>
    </row>
    <row r="118" spans="1:5" ht="13.5" thickBot="1" x14ac:dyDescent="0.2">
      <c r="A118" s="482" t="s">
        <v>1032</v>
      </c>
      <c r="B118" s="483" t="s">
        <v>1024</v>
      </c>
      <c r="C118" s="483" t="s">
        <v>78</v>
      </c>
      <c r="D118" s="484">
        <v>0.12</v>
      </c>
      <c r="E118" s="485"/>
    </row>
    <row r="119" spans="1:5" ht="13.5" thickBot="1" x14ac:dyDescent="0.2">
      <c r="A119" s="482"/>
      <c r="B119" s="483" t="s">
        <v>1033</v>
      </c>
      <c r="C119" s="483" t="s">
        <v>78</v>
      </c>
      <c r="D119" s="484">
        <v>0.22</v>
      </c>
      <c r="E119" s="485"/>
    </row>
    <row r="120" spans="1:5" ht="13.5" thickBot="1" x14ac:dyDescent="0.2">
      <c r="A120" s="482" t="s">
        <v>1034</v>
      </c>
      <c r="B120" s="483" t="s">
        <v>1035</v>
      </c>
      <c r="C120" s="483" t="s">
        <v>78</v>
      </c>
      <c r="D120" s="484">
        <v>0.12</v>
      </c>
      <c r="E120" s="485"/>
    </row>
    <row r="121" spans="1:5" ht="13.5" thickBot="1" x14ac:dyDescent="0.2">
      <c r="A121" s="482"/>
      <c r="B121" s="483" t="s">
        <v>1024</v>
      </c>
      <c r="C121" s="483" t="s">
        <v>78</v>
      </c>
      <c r="D121" s="484">
        <v>0.15</v>
      </c>
      <c r="E121" s="485"/>
    </row>
    <row r="122" spans="1:5" ht="13.5" thickBot="1" x14ac:dyDescent="0.2">
      <c r="A122" s="482"/>
      <c r="B122" s="483" t="s">
        <v>1025</v>
      </c>
      <c r="C122" s="483" t="s">
        <v>78</v>
      </c>
      <c r="D122" s="484">
        <v>0.17</v>
      </c>
      <c r="E122" s="485"/>
    </row>
    <row r="123" spans="1:5" ht="13.5" thickBot="1" x14ac:dyDescent="0.2">
      <c r="A123" s="482"/>
      <c r="B123" s="483" t="s">
        <v>1030</v>
      </c>
      <c r="C123" s="483" t="s">
        <v>78</v>
      </c>
      <c r="D123" s="484">
        <v>0.2</v>
      </c>
      <c r="E123" s="485"/>
    </row>
    <row r="124" spans="1:5" ht="13.5" thickBot="1" x14ac:dyDescent="0.2">
      <c r="A124" s="482" t="s">
        <v>1036</v>
      </c>
      <c r="B124" s="483" t="s">
        <v>1035</v>
      </c>
      <c r="C124" s="483" t="s">
        <v>78</v>
      </c>
      <c r="D124" s="484">
        <v>0.18</v>
      </c>
      <c r="E124" s="485"/>
    </row>
    <row r="125" spans="1:5" ht="13.5" thickBot="1" x14ac:dyDescent="0.2">
      <c r="A125" s="482"/>
      <c r="B125" s="483" t="s">
        <v>1024</v>
      </c>
      <c r="C125" s="483" t="s">
        <v>78</v>
      </c>
      <c r="D125" s="484">
        <v>0.2</v>
      </c>
      <c r="E125" s="485"/>
    </row>
    <row r="126" spans="1:5" ht="13.5" thickBot="1" x14ac:dyDescent="0.2">
      <c r="A126" s="482" t="s">
        <v>1037</v>
      </c>
      <c r="B126" s="483" t="s">
        <v>1024</v>
      </c>
      <c r="C126" s="483" t="s">
        <v>78</v>
      </c>
      <c r="D126" s="484">
        <v>0.17</v>
      </c>
      <c r="E126" s="485"/>
    </row>
    <row r="127" spans="1:5" ht="13.5" thickBot="1" x14ac:dyDescent="0.2">
      <c r="A127" s="482"/>
      <c r="B127" s="483" t="s">
        <v>1025</v>
      </c>
      <c r="C127" s="483" t="s">
        <v>78</v>
      </c>
      <c r="D127" s="484">
        <v>0.2</v>
      </c>
      <c r="E127" s="485"/>
    </row>
    <row r="128" spans="1:5" ht="13.5" thickBot="1" x14ac:dyDescent="0.2">
      <c r="A128" s="482" t="s">
        <v>1038</v>
      </c>
      <c r="B128" s="483" t="s">
        <v>994</v>
      </c>
      <c r="C128" s="483" t="s">
        <v>78</v>
      </c>
      <c r="D128" s="484">
        <v>0.2</v>
      </c>
      <c r="E128" s="485"/>
    </row>
    <row r="129" spans="1:5" ht="13.5" thickBot="1" x14ac:dyDescent="0.2">
      <c r="A129" s="482"/>
      <c r="B129" s="483" t="s">
        <v>995</v>
      </c>
      <c r="C129" s="483" t="s">
        <v>78</v>
      </c>
      <c r="D129" s="484">
        <v>0.22</v>
      </c>
      <c r="E129" s="485"/>
    </row>
    <row r="130" spans="1:5" ht="13.5" thickBot="1" x14ac:dyDescent="0.2">
      <c r="A130" s="482"/>
      <c r="B130" s="483" t="s">
        <v>1024</v>
      </c>
      <c r="C130" s="483" t="s">
        <v>78</v>
      </c>
      <c r="D130" s="484">
        <v>0.17</v>
      </c>
      <c r="E130" s="485"/>
    </row>
    <row r="131" spans="1:5" ht="13.5" thickBot="1" x14ac:dyDescent="0.2">
      <c r="A131" s="482" t="s">
        <v>1039</v>
      </c>
      <c r="B131" s="483" t="s">
        <v>994</v>
      </c>
      <c r="C131" s="483" t="s">
        <v>78</v>
      </c>
      <c r="D131" s="484">
        <v>0.18</v>
      </c>
      <c r="E131" s="485"/>
    </row>
    <row r="132" spans="1:5" ht="13.5" thickBot="1" x14ac:dyDescent="0.2">
      <c r="A132" s="482"/>
      <c r="B132" s="483" t="s">
        <v>995</v>
      </c>
      <c r="C132" s="483" t="s">
        <v>78</v>
      </c>
      <c r="D132" s="484">
        <v>0.2</v>
      </c>
      <c r="E132" s="485"/>
    </row>
    <row r="133" spans="1:5" ht="13.5" thickBot="1" x14ac:dyDescent="0.2">
      <c r="A133" s="482"/>
      <c r="B133" s="483" t="s">
        <v>1025</v>
      </c>
      <c r="C133" s="483" t="s">
        <v>78</v>
      </c>
      <c r="D133" s="484">
        <v>0.16</v>
      </c>
      <c r="E133" s="485"/>
    </row>
    <row r="134" spans="1:5" ht="13.5" thickBot="1" x14ac:dyDescent="0.2">
      <c r="A134" s="482"/>
      <c r="B134" s="483" t="s">
        <v>1030</v>
      </c>
      <c r="C134" s="483" t="s">
        <v>78</v>
      </c>
      <c r="D134" s="484">
        <v>0.21</v>
      </c>
      <c r="E134" s="485"/>
    </row>
    <row r="135" spans="1:5" ht="13.5" thickBot="1" x14ac:dyDescent="0.2">
      <c r="A135" s="482" t="s">
        <v>1040</v>
      </c>
      <c r="B135" s="483" t="s">
        <v>1030</v>
      </c>
      <c r="C135" s="483" t="s">
        <v>78</v>
      </c>
      <c r="D135" s="484">
        <v>0.27</v>
      </c>
      <c r="E135" s="485"/>
    </row>
    <row r="136" spans="1:5" ht="13.5" thickBot="1" x14ac:dyDescent="0.2">
      <c r="A136" s="482"/>
      <c r="B136" s="483" t="s">
        <v>1041</v>
      </c>
      <c r="C136" s="483" t="s">
        <v>78</v>
      </c>
      <c r="D136" s="484">
        <v>0.34</v>
      </c>
      <c r="E136" s="485"/>
    </row>
    <row r="137" spans="1:5" ht="13.5" thickBot="1" x14ac:dyDescent="0.2">
      <c r="A137" s="482"/>
      <c r="B137" s="483" t="s">
        <v>1042</v>
      </c>
      <c r="C137" s="483" t="s">
        <v>78</v>
      </c>
      <c r="D137" s="484">
        <v>0.34</v>
      </c>
      <c r="E137" s="485"/>
    </row>
    <row r="138" spans="1:5" ht="13.5" thickBot="1" x14ac:dyDescent="0.2">
      <c r="A138" s="482"/>
      <c r="B138" s="483" t="s">
        <v>1043</v>
      </c>
      <c r="C138" s="483" t="s">
        <v>78</v>
      </c>
      <c r="D138" s="484">
        <v>0.45</v>
      </c>
      <c r="E138" s="485"/>
    </row>
    <row r="139" spans="1:5" ht="13.5" thickBot="1" x14ac:dyDescent="0.2">
      <c r="A139" s="482" t="s">
        <v>1044</v>
      </c>
      <c r="B139" s="483" t="s">
        <v>1045</v>
      </c>
      <c r="C139" s="483" t="s">
        <v>78</v>
      </c>
      <c r="D139" s="484">
        <v>0.28000000000000003</v>
      </c>
      <c r="E139" s="485"/>
    </row>
    <row r="140" spans="1:5" ht="13.5" thickBot="1" x14ac:dyDescent="0.2">
      <c r="A140" s="482"/>
      <c r="B140" s="483" t="s">
        <v>1046</v>
      </c>
      <c r="C140" s="483"/>
      <c r="D140" s="483"/>
      <c r="E140" s="485"/>
    </row>
    <row r="141" spans="1:5" ht="13.5" thickBot="1" x14ac:dyDescent="0.2">
      <c r="A141" s="482"/>
      <c r="B141" s="483" t="s">
        <v>1047</v>
      </c>
      <c r="C141" s="483" t="s">
        <v>658</v>
      </c>
      <c r="D141" s="484">
        <v>1.5</v>
      </c>
      <c r="E141" s="485"/>
    </row>
    <row r="142" spans="1:5" ht="13.5" thickBot="1" x14ac:dyDescent="0.2">
      <c r="A142" s="482"/>
      <c r="B142" s="483" t="s">
        <v>1048</v>
      </c>
      <c r="C142" s="483" t="s">
        <v>658</v>
      </c>
      <c r="D142" s="484">
        <v>2</v>
      </c>
      <c r="E142" s="485"/>
    </row>
    <row r="143" spans="1:5" ht="13.5" thickBot="1" x14ac:dyDescent="0.2">
      <c r="A143" s="489"/>
      <c r="B143" s="490" t="s">
        <v>1049</v>
      </c>
      <c r="C143" s="490" t="s">
        <v>658</v>
      </c>
      <c r="D143" s="491">
        <v>3</v>
      </c>
    </row>
    <row r="146" spans="1:5" ht="26.25" x14ac:dyDescent="0.15">
      <c r="A146" s="486" t="s">
        <v>1056</v>
      </c>
    </row>
    <row r="147" spans="1:5" ht="13.5" thickBot="1" x14ac:dyDescent="0.2">
      <c r="A147" s="487"/>
    </row>
    <row r="148" spans="1:5" ht="28.5" thickBot="1" x14ac:dyDescent="0.25">
      <c r="A148" s="481" t="s">
        <v>1051</v>
      </c>
      <c r="B148" s="481" t="s">
        <v>742</v>
      </c>
      <c r="C148" s="481" t="s">
        <v>882</v>
      </c>
      <c r="D148" s="481" t="s">
        <v>883</v>
      </c>
      <c r="E148" s="481" t="s">
        <v>884</v>
      </c>
    </row>
    <row r="149" spans="1:5" ht="13.5" thickBot="1" x14ac:dyDescent="0.2">
      <c r="A149" s="482"/>
      <c r="B149" s="483" t="s">
        <v>1052</v>
      </c>
      <c r="C149" s="483" t="s">
        <v>78</v>
      </c>
      <c r="D149" s="484">
        <v>0.12</v>
      </c>
      <c r="E149" s="485"/>
    </row>
    <row r="150" spans="1:5" ht="13.5" thickBot="1" x14ac:dyDescent="0.2">
      <c r="A150" s="482"/>
      <c r="B150" s="483" t="s">
        <v>1053</v>
      </c>
      <c r="C150" s="483" t="s">
        <v>84</v>
      </c>
      <c r="D150" s="484" t="s">
        <v>1054</v>
      </c>
      <c r="E150" s="485"/>
    </row>
    <row r="151" spans="1:5" ht="13.5" thickBot="1" x14ac:dyDescent="0.2">
      <c r="A151" s="492"/>
      <c r="B151" s="493" t="s">
        <v>1055</v>
      </c>
      <c r="C151" s="493" t="s">
        <v>84</v>
      </c>
      <c r="D151" s="491">
        <v>0.4</v>
      </c>
    </row>
    <row r="154" spans="1:5" ht="51.75" x14ac:dyDescent="0.35">
      <c r="A154" s="479" t="s">
        <v>1066</v>
      </c>
    </row>
    <row r="155" spans="1:5" ht="15" thickBot="1" x14ac:dyDescent="0.2">
      <c r="A155" s="480"/>
    </row>
    <row r="156" spans="1:5" ht="28.5" thickBot="1" x14ac:dyDescent="0.25">
      <c r="A156" s="481" t="s">
        <v>742</v>
      </c>
      <c r="B156" s="481" t="s">
        <v>1057</v>
      </c>
      <c r="C156" s="481" t="s">
        <v>882</v>
      </c>
      <c r="D156" s="481" t="s">
        <v>883</v>
      </c>
      <c r="E156" s="481" t="s">
        <v>884</v>
      </c>
    </row>
    <row r="157" spans="1:5" ht="13.5" thickBot="1" x14ac:dyDescent="0.2">
      <c r="A157" s="482" t="s">
        <v>1058</v>
      </c>
      <c r="B157" s="483" t="s">
        <v>1035</v>
      </c>
      <c r="C157" s="483" t="s">
        <v>78</v>
      </c>
      <c r="D157" s="484">
        <v>0.12</v>
      </c>
      <c r="E157" s="485"/>
    </row>
    <row r="158" spans="1:5" ht="13.5" thickBot="1" x14ac:dyDescent="0.2">
      <c r="A158" s="482"/>
      <c r="B158" s="483" t="s">
        <v>1024</v>
      </c>
      <c r="C158" s="483" t="s">
        <v>78</v>
      </c>
      <c r="D158" s="484">
        <v>0.13</v>
      </c>
      <c r="E158" s="485"/>
    </row>
    <row r="159" spans="1:5" ht="13.5" thickBot="1" x14ac:dyDescent="0.2">
      <c r="A159" s="482"/>
      <c r="B159" s="483" t="s">
        <v>1025</v>
      </c>
      <c r="C159" s="483" t="s">
        <v>78</v>
      </c>
      <c r="D159" s="484">
        <v>0.15</v>
      </c>
      <c r="E159" s="485"/>
    </row>
    <row r="160" spans="1:5" ht="13.5" thickBot="1" x14ac:dyDescent="0.2">
      <c r="A160" s="482" t="s">
        <v>1059</v>
      </c>
      <c r="B160" s="483" t="s">
        <v>1035</v>
      </c>
      <c r="C160" s="483" t="s">
        <v>78</v>
      </c>
      <c r="D160" s="484">
        <v>0.12</v>
      </c>
      <c r="E160" s="485"/>
    </row>
    <row r="161" spans="1:5" ht="13.5" thickBot="1" x14ac:dyDescent="0.2">
      <c r="A161" s="482"/>
      <c r="B161" s="483" t="s">
        <v>1024</v>
      </c>
      <c r="C161" s="483" t="s">
        <v>78</v>
      </c>
      <c r="D161" s="484">
        <v>0.13</v>
      </c>
      <c r="E161" s="485"/>
    </row>
    <row r="162" spans="1:5" ht="13.5" thickBot="1" x14ac:dyDescent="0.2">
      <c r="A162" s="482"/>
      <c r="B162" s="483" t="s">
        <v>1025</v>
      </c>
      <c r="C162" s="483" t="s">
        <v>78</v>
      </c>
      <c r="D162" s="484">
        <v>0.15</v>
      </c>
      <c r="E162" s="485"/>
    </row>
    <row r="163" spans="1:5" ht="13.5" thickBot="1" x14ac:dyDescent="0.2">
      <c r="A163" s="482" t="s">
        <v>1060</v>
      </c>
      <c r="B163" s="483" t="s">
        <v>1035</v>
      </c>
      <c r="C163" s="483" t="s">
        <v>78</v>
      </c>
      <c r="D163" s="484">
        <v>0.13</v>
      </c>
      <c r="E163" s="485"/>
    </row>
    <row r="164" spans="1:5" ht="13.5" thickBot="1" x14ac:dyDescent="0.2">
      <c r="A164" s="482"/>
      <c r="B164" s="483" t="s">
        <v>1024</v>
      </c>
      <c r="C164" s="483" t="s">
        <v>78</v>
      </c>
      <c r="D164" s="484">
        <v>0.13</v>
      </c>
      <c r="E164" s="485"/>
    </row>
    <row r="165" spans="1:5" ht="13.5" thickBot="1" x14ac:dyDescent="0.2">
      <c r="A165" s="482"/>
      <c r="B165" s="483" t="s">
        <v>1025</v>
      </c>
      <c r="C165" s="483" t="s">
        <v>78</v>
      </c>
      <c r="D165" s="484">
        <v>0.24</v>
      </c>
      <c r="E165" s="485"/>
    </row>
    <row r="166" spans="1:5" ht="13.5" thickBot="1" x14ac:dyDescent="0.2">
      <c r="A166" s="482" t="s">
        <v>1061</v>
      </c>
      <c r="B166" s="483" t="s">
        <v>1035</v>
      </c>
      <c r="C166" s="483" t="s">
        <v>78</v>
      </c>
      <c r="D166" s="484">
        <v>0.13</v>
      </c>
      <c r="E166" s="485"/>
    </row>
    <row r="167" spans="1:5" ht="13.5" thickBot="1" x14ac:dyDescent="0.2">
      <c r="A167" s="482"/>
      <c r="B167" s="483" t="s">
        <v>1024</v>
      </c>
      <c r="C167" s="483" t="s">
        <v>78</v>
      </c>
      <c r="D167" s="484">
        <v>0.17</v>
      </c>
      <c r="E167" s="485"/>
    </row>
    <row r="168" spans="1:5" ht="13.5" thickBot="1" x14ac:dyDescent="0.2">
      <c r="A168" s="482"/>
      <c r="B168" s="483" t="s">
        <v>1025</v>
      </c>
      <c r="C168" s="483" t="s">
        <v>78</v>
      </c>
      <c r="D168" s="484">
        <v>0.24</v>
      </c>
      <c r="E168" s="485"/>
    </row>
    <row r="169" spans="1:5" ht="13.5" thickBot="1" x14ac:dyDescent="0.2">
      <c r="A169" s="482" t="s">
        <v>1062</v>
      </c>
      <c r="B169" s="483" t="s">
        <v>1045</v>
      </c>
      <c r="C169" s="483" t="s">
        <v>78</v>
      </c>
      <c r="D169" s="484">
        <v>0.26</v>
      </c>
      <c r="E169" s="485"/>
    </row>
    <row r="170" spans="1:5" ht="13.5" thickBot="1" x14ac:dyDescent="0.2">
      <c r="A170" s="482"/>
      <c r="B170" s="483" t="s">
        <v>1063</v>
      </c>
      <c r="C170" s="483" t="s">
        <v>78</v>
      </c>
      <c r="D170" s="484">
        <v>0.36</v>
      </c>
      <c r="E170" s="485"/>
    </row>
    <row r="171" spans="1:5" ht="13.5" thickBot="1" x14ac:dyDescent="0.2">
      <c r="A171" s="482"/>
      <c r="B171" s="483" t="s">
        <v>1042</v>
      </c>
      <c r="C171" s="483" t="s">
        <v>78</v>
      </c>
      <c r="D171" s="484">
        <v>0.46</v>
      </c>
      <c r="E171" s="485"/>
    </row>
    <row r="172" spans="1:5" ht="13.5" thickBot="1" x14ac:dyDescent="0.2">
      <c r="A172" s="482"/>
      <c r="B172" s="483" t="s">
        <v>1064</v>
      </c>
      <c r="C172" s="483" t="s">
        <v>78</v>
      </c>
      <c r="D172" s="484">
        <v>0.5</v>
      </c>
      <c r="E172" s="485"/>
    </row>
    <row r="173" spans="1:5" ht="13.5" thickBot="1" x14ac:dyDescent="0.2">
      <c r="A173" s="482"/>
      <c r="B173" s="483" t="s">
        <v>1065</v>
      </c>
      <c r="C173" s="483" t="s">
        <v>78</v>
      </c>
      <c r="D173" s="484">
        <v>0.12</v>
      </c>
      <c r="E173" s="485"/>
    </row>
    <row r="176" spans="1:5" ht="51.75" x14ac:dyDescent="0.35">
      <c r="A176" s="479" t="s">
        <v>1075</v>
      </c>
    </row>
    <row r="177" spans="1:5" ht="15" thickBot="1" x14ac:dyDescent="0.2">
      <c r="A177" s="480"/>
    </row>
    <row r="178" spans="1:5" ht="28.5" thickBot="1" x14ac:dyDescent="0.25">
      <c r="A178" s="481" t="s">
        <v>742</v>
      </c>
      <c r="B178" s="481" t="s">
        <v>1067</v>
      </c>
      <c r="C178" s="481" t="s">
        <v>882</v>
      </c>
      <c r="D178" s="481" t="s">
        <v>883</v>
      </c>
      <c r="E178" s="481" t="s">
        <v>884</v>
      </c>
    </row>
    <row r="179" spans="1:5" ht="13.5" thickBot="1" x14ac:dyDescent="0.2">
      <c r="A179" s="482" t="s">
        <v>1060</v>
      </c>
      <c r="B179" s="483" t="s">
        <v>1045</v>
      </c>
      <c r="C179" s="483" t="s">
        <v>78</v>
      </c>
      <c r="D179" s="484">
        <v>0.22</v>
      </c>
      <c r="E179" s="485"/>
    </row>
    <row r="180" spans="1:5" ht="13.5" thickBot="1" x14ac:dyDescent="0.2">
      <c r="A180" s="482" t="s">
        <v>1068</v>
      </c>
      <c r="B180" s="483" t="s">
        <v>1033</v>
      </c>
      <c r="C180" s="483" t="s">
        <v>78</v>
      </c>
      <c r="D180" s="484">
        <v>0.22</v>
      </c>
      <c r="E180" s="485"/>
    </row>
    <row r="181" spans="1:5" ht="13.5" thickBot="1" x14ac:dyDescent="0.2">
      <c r="A181" s="482"/>
      <c r="B181" s="483" t="s">
        <v>1069</v>
      </c>
      <c r="C181" s="483" t="s">
        <v>78</v>
      </c>
      <c r="D181" s="484">
        <v>0.24</v>
      </c>
      <c r="E181" s="485"/>
    </row>
    <row r="182" spans="1:5" ht="13.5" thickBot="1" x14ac:dyDescent="0.2">
      <c r="A182" s="482" t="s">
        <v>1070</v>
      </c>
      <c r="B182" s="483" t="s">
        <v>1025</v>
      </c>
      <c r="C182" s="483" t="s">
        <v>78</v>
      </c>
      <c r="D182" s="484">
        <v>0.2</v>
      </c>
      <c r="E182" s="485"/>
    </row>
    <row r="183" spans="1:5" ht="13.5" thickBot="1" x14ac:dyDescent="0.2">
      <c r="A183" s="482"/>
      <c r="B183" s="483" t="s">
        <v>1030</v>
      </c>
      <c r="C183" s="483" t="s">
        <v>78</v>
      </c>
      <c r="D183" s="484">
        <v>0.21</v>
      </c>
      <c r="E183" s="485"/>
    </row>
    <row r="184" spans="1:5" ht="13.5" thickBot="1" x14ac:dyDescent="0.2">
      <c r="A184" s="482"/>
      <c r="B184" s="483" t="s">
        <v>1071</v>
      </c>
      <c r="C184" s="483" t="s">
        <v>78</v>
      </c>
      <c r="D184" s="484">
        <v>0.22</v>
      </c>
      <c r="E184" s="485"/>
    </row>
    <row r="185" spans="1:5" ht="13.5" thickBot="1" x14ac:dyDescent="0.2">
      <c r="A185" s="482"/>
      <c r="B185" s="483" t="s">
        <v>1072</v>
      </c>
      <c r="C185" s="483" t="s">
        <v>78</v>
      </c>
      <c r="D185" s="484">
        <v>0.22</v>
      </c>
      <c r="E185" s="485"/>
    </row>
    <row r="186" spans="1:5" ht="13.5" thickBot="1" x14ac:dyDescent="0.2">
      <c r="A186" s="482" t="s">
        <v>1073</v>
      </c>
      <c r="B186" s="483" t="s">
        <v>1024</v>
      </c>
      <c r="C186" s="483" t="s">
        <v>78</v>
      </c>
      <c r="D186" s="484">
        <v>0.17</v>
      </c>
      <c r="E186" s="485"/>
    </row>
    <row r="187" spans="1:5" ht="13.5" thickBot="1" x14ac:dyDescent="0.2">
      <c r="A187" s="482"/>
      <c r="B187" s="483" t="s">
        <v>1025</v>
      </c>
      <c r="C187" s="483" t="s">
        <v>78</v>
      </c>
      <c r="D187" s="484">
        <v>0.23</v>
      </c>
      <c r="E187" s="485"/>
    </row>
    <row r="188" spans="1:5" ht="13.5" thickBot="1" x14ac:dyDescent="0.2">
      <c r="A188" s="482"/>
      <c r="B188" s="483" t="s">
        <v>1030</v>
      </c>
      <c r="C188" s="483" t="s">
        <v>78</v>
      </c>
      <c r="D188" s="484">
        <v>0.25</v>
      </c>
      <c r="E188" s="485"/>
    </row>
    <row r="189" spans="1:5" ht="13.5" thickBot="1" x14ac:dyDescent="0.2">
      <c r="A189" s="482"/>
      <c r="B189" s="483" t="s">
        <v>1072</v>
      </c>
      <c r="C189" s="483" t="s">
        <v>78</v>
      </c>
      <c r="D189" s="484">
        <v>0.32</v>
      </c>
      <c r="E189" s="485"/>
    </row>
    <row r="190" spans="1:5" ht="13.5" thickBot="1" x14ac:dyDescent="0.2">
      <c r="A190" s="482" t="s">
        <v>1074</v>
      </c>
      <c r="B190" s="483" t="s">
        <v>1030</v>
      </c>
      <c r="C190" s="483" t="s">
        <v>78</v>
      </c>
      <c r="D190" s="484">
        <v>0.23</v>
      </c>
      <c r="E190" s="485"/>
    </row>
    <row r="191" spans="1:5" ht="13.5" thickBot="1" x14ac:dyDescent="0.2">
      <c r="A191" s="482"/>
      <c r="B191" s="483" t="s">
        <v>1071</v>
      </c>
      <c r="C191" s="483" t="s">
        <v>78</v>
      </c>
      <c r="D191" s="484">
        <v>0.28000000000000003</v>
      </c>
      <c r="E191" s="485"/>
    </row>
    <row r="192" spans="1:5" ht="13.5" thickBot="1" x14ac:dyDescent="0.2">
      <c r="A192" s="482"/>
      <c r="B192" s="483" t="s">
        <v>1042</v>
      </c>
      <c r="C192" s="483" t="s">
        <v>78</v>
      </c>
      <c r="D192" s="484">
        <v>0.28999999999999998</v>
      </c>
      <c r="E192" s="485"/>
    </row>
    <row r="193" spans="1:5" ht="13.5" thickBot="1" x14ac:dyDescent="0.2">
      <c r="A193" s="482"/>
      <c r="B193" s="483" t="s">
        <v>1043</v>
      </c>
      <c r="C193" s="483" t="s">
        <v>78</v>
      </c>
      <c r="D193" s="484">
        <v>0.36</v>
      </c>
      <c r="E193" s="485"/>
    </row>
    <row r="196" spans="1:5" ht="51.75" x14ac:dyDescent="0.35">
      <c r="A196" s="479" t="s">
        <v>1087</v>
      </c>
    </row>
    <row r="197" spans="1:5" ht="14.25" x14ac:dyDescent="0.15">
      <c r="A197" s="480"/>
    </row>
    <row r="198" spans="1:5" ht="27.75" x14ac:dyDescent="0.2">
      <c r="A198" s="463" t="s">
        <v>742</v>
      </c>
      <c r="B198" s="463" t="s">
        <v>741</v>
      </c>
      <c r="C198" s="463" t="s">
        <v>882</v>
      </c>
      <c r="D198" s="463" t="s">
        <v>883</v>
      </c>
      <c r="E198" s="463" t="s">
        <v>884</v>
      </c>
    </row>
    <row r="199" spans="1:5" ht="13.5" thickBot="1" x14ac:dyDescent="0.2">
      <c r="A199" s="464" t="s">
        <v>1076</v>
      </c>
      <c r="B199" s="465"/>
      <c r="C199" s="465"/>
      <c r="D199" s="465"/>
      <c r="E199" s="467"/>
    </row>
    <row r="200" spans="1:5" ht="13.5" thickBot="1" x14ac:dyDescent="0.2">
      <c r="A200" s="464"/>
      <c r="B200" s="465" t="s">
        <v>1028</v>
      </c>
      <c r="C200" s="465" t="s">
        <v>84</v>
      </c>
      <c r="D200" s="465" t="s">
        <v>1077</v>
      </c>
      <c r="E200" s="467"/>
    </row>
    <row r="201" spans="1:5" ht="13.5" thickBot="1" x14ac:dyDescent="0.2">
      <c r="A201" s="464"/>
      <c r="B201" s="465" t="s">
        <v>1078</v>
      </c>
      <c r="C201" s="465" t="s">
        <v>84</v>
      </c>
      <c r="D201" s="465" t="s">
        <v>1079</v>
      </c>
      <c r="E201" s="467"/>
    </row>
    <row r="202" spans="1:5" ht="13.5" thickBot="1" x14ac:dyDescent="0.2">
      <c r="A202" s="464" t="s">
        <v>1080</v>
      </c>
      <c r="B202" s="465"/>
      <c r="C202" s="465"/>
      <c r="D202" s="465"/>
      <c r="E202" s="467"/>
    </row>
    <row r="203" spans="1:5" ht="13.5" thickBot="1" x14ac:dyDescent="0.2">
      <c r="A203" s="464"/>
      <c r="B203" s="465" t="s">
        <v>1081</v>
      </c>
      <c r="C203" s="465" t="s">
        <v>84</v>
      </c>
      <c r="D203" s="466">
        <v>0.4</v>
      </c>
      <c r="E203" s="467"/>
    </row>
    <row r="204" spans="1:5" ht="13.5" thickBot="1" x14ac:dyDescent="0.2">
      <c r="A204" s="464"/>
      <c r="B204" s="465" t="s">
        <v>1082</v>
      </c>
      <c r="C204" s="465" t="s">
        <v>84</v>
      </c>
      <c r="D204" s="466">
        <v>0.38</v>
      </c>
      <c r="E204" s="467"/>
    </row>
    <row r="205" spans="1:5" ht="13.5" thickBot="1" x14ac:dyDescent="0.2">
      <c r="A205" s="464"/>
      <c r="B205" s="465" t="s">
        <v>1083</v>
      </c>
      <c r="C205" s="465" t="s">
        <v>84</v>
      </c>
      <c r="D205" s="466">
        <v>0.36</v>
      </c>
      <c r="E205" s="467"/>
    </row>
    <row r="206" spans="1:5" ht="13.5" thickBot="1" x14ac:dyDescent="0.2">
      <c r="A206" s="464" t="s">
        <v>1084</v>
      </c>
      <c r="B206" s="465"/>
      <c r="C206" s="465"/>
      <c r="D206" s="465"/>
      <c r="E206" s="467"/>
    </row>
    <row r="207" spans="1:5" ht="13.5" thickBot="1" x14ac:dyDescent="0.2">
      <c r="A207" s="464"/>
      <c r="B207" s="465" t="s">
        <v>1085</v>
      </c>
      <c r="C207" s="465" t="s">
        <v>84</v>
      </c>
      <c r="D207" s="466">
        <v>0.38</v>
      </c>
      <c r="E207" s="467"/>
    </row>
    <row r="208" spans="1:5" ht="13.5" thickBot="1" x14ac:dyDescent="0.2">
      <c r="A208" s="464"/>
      <c r="B208" s="465" t="s">
        <v>1086</v>
      </c>
      <c r="C208" s="465" t="s">
        <v>84</v>
      </c>
      <c r="D208" s="466">
        <v>0.4</v>
      </c>
      <c r="E208" s="467"/>
    </row>
    <row r="211" spans="1:5" ht="51.75" x14ac:dyDescent="0.35">
      <c r="A211" s="479" t="s">
        <v>1117</v>
      </c>
    </row>
    <row r="212" spans="1:5" ht="15" thickBot="1" x14ac:dyDescent="0.2">
      <c r="A212" s="480"/>
    </row>
    <row r="213" spans="1:5" ht="15.75" thickBot="1" x14ac:dyDescent="0.25">
      <c r="A213" s="470" t="s">
        <v>913</v>
      </c>
      <c r="B213" s="471" t="s">
        <v>914</v>
      </c>
      <c r="C213" s="471" t="s">
        <v>915</v>
      </c>
      <c r="D213" s="471" t="s">
        <v>916</v>
      </c>
      <c r="E213" s="472" t="s">
        <v>917</v>
      </c>
    </row>
    <row r="214" spans="1:5" ht="13.5" thickBot="1" x14ac:dyDescent="0.2">
      <c r="A214" s="473" t="s">
        <v>1088</v>
      </c>
      <c r="B214" s="469" t="s">
        <v>956</v>
      </c>
      <c r="C214" s="469" t="s">
        <v>1089</v>
      </c>
      <c r="D214" s="469" t="s">
        <v>966</v>
      </c>
      <c r="E214" s="474" t="s">
        <v>927</v>
      </c>
    </row>
    <row r="215" spans="1:5" ht="13.5" thickBot="1" x14ac:dyDescent="0.2">
      <c r="A215" s="473" t="s">
        <v>1090</v>
      </c>
      <c r="B215" s="469" t="s">
        <v>1091</v>
      </c>
      <c r="C215" s="469" t="s">
        <v>1092</v>
      </c>
      <c r="D215" s="469" t="s">
        <v>959</v>
      </c>
      <c r="E215" s="474" t="s">
        <v>927</v>
      </c>
    </row>
    <row r="216" spans="1:5" ht="25.5" thickBot="1" x14ac:dyDescent="0.2">
      <c r="A216" s="473" t="s">
        <v>1093</v>
      </c>
      <c r="B216" s="469" t="s">
        <v>968</v>
      </c>
      <c r="C216" s="469" t="s">
        <v>1094</v>
      </c>
      <c r="D216" s="469" t="s">
        <v>1095</v>
      </c>
      <c r="E216" s="474" t="s">
        <v>927</v>
      </c>
    </row>
    <row r="217" spans="1:5" ht="25.5" thickBot="1" x14ac:dyDescent="0.2">
      <c r="A217" s="473" t="s">
        <v>1096</v>
      </c>
      <c r="B217" s="469" t="s">
        <v>1097</v>
      </c>
      <c r="C217" s="469" t="s">
        <v>956</v>
      </c>
      <c r="D217" s="469" t="s">
        <v>1098</v>
      </c>
      <c r="E217" s="474" t="s">
        <v>927</v>
      </c>
    </row>
    <row r="218" spans="1:5" ht="25.5" thickBot="1" x14ac:dyDescent="0.2">
      <c r="A218" s="473" t="s">
        <v>1099</v>
      </c>
      <c r="B218" s="469" t="s">
        <v>1100</v>
      </c>
      <c r="C218" s="469" t="s">
        <v>1101</v>
      </c>
      <c r="D218" s="469" t="s">
        <v>968</v>
      </c>
      <c r="E218" s="474" t="s">
        <v>927</v>
      </c>
    </row>
    <row r="219" spans="1:5" ht="13.5" thickBot="1" x14ac:dyDescent="0.2">
      <c r="A219" s="473" t="s">
        <v>1102</v>
      </c>
      <c r="B219" s="469" t="s">
        <v>1097</v>
      </c>
      <c r="C219" s="469" t="s">
        <v>956</v>
      </c>
      <c r="D219" s="469" t="s">
        <v>1089</v>
      </c>
      <c r="E219" s="474" t="s">
        <v>927</v>
      </c>
    </row>
    <row r="220" spans="1:5" ht="13.5" thickBot="1" x14ac:dyDescent="0.2">
      <c r="A220" s="473" t="s">
        <v>1103</v>
      </c>
      <c r="B220" s="469" t="s">
        <v>937</v>
      </c>
      <c r="C220" s="469" t="s">
        <v>1104</v>
      </c>
      <c r="D220" s="469" t="s">
        <v>937</v>
      </c>
      <c r="E220" s="474" t="s">
        <v>927</v>
      </c>
    </row>
    <row r="221" spans="1:5" ht="13.5" thickBot="1" x14ac:dyDescent="0.2">
      <c r="A221" s="473" t="s">
        <v>1105</v>
      </c>
      <c r="B221" s="469" t="s">
        <v>1106</v>
      </c>
      <c r="C221" s="469" t="s">
        <v>1107</v>
      </c>
      <c r="D221" s="469" t="s">
        <v>1108</v>
      </c>
      <c r="E221" s="474" t="s">
        <v>927</v>
      </c>
    </row>
    <row r="222" spans="1:5" ht="13.5" thickBot="1" x14ac:dyDescent="0.2">
      <c r="A222" s="473" t="s">
        <v>1109</v>
      </c>
      <c r="B222" s="469" t="s">
        <v>1110</v>
      </c>
      <c r="C222" s="469" t="s">
        <v>1111</v>
      </c>
      <c r="D222" s="469" t="s">
        <v>1112</v>
      </c>
      <c r="E222" s="474" t="s">
        <v>927</v>
      </c>
    </row>
    <row r="223" spans="1:5" ht="13.5" thickBot="1" x14ac:dyDescent="0.2">
      <c r="A223" s="473" t="s">
        <v>1113</v>
      </c>
      <c r="B223" s="469" t="s">
        <v>937</v>
      </c>
      <c r="C223" s="469" t="s">
        <v>1114</v>
      </c>
      <c r="D223" s="469" t="s">
        <v>937</v>
      </c>
      <c r="E223" s="474" t="s">
        <v>927</v>
      </c>
    </row>
    <row r="224" spans="1:5" ht="13.5" thickBot="1" x14ac:dyDescent="0.2">
      <c r="A224" s="475" t="s">
        <v>1115</v>
      </c>
      <c r="B224" s="476" t="s">
        <v>937</v>
      </c>
      <c r="C224" s="476" t="s">
        <v>1116</v>
      </c>
      <c r="D224" s="476" t="s">
        <v>937</v>
      </c>
      <c r="E224" s="477" t="s">
        <v>927</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45"/>
  <sheetViews>
    <sheetView workbookViewId="0">
      <selection activeCell="B6" sqref="B6"/>
    </sheetView>
  </sheetViews>
  <sheetFormatPr defaultRowHeight="12.75" x14ac:dyDescent="0.15"/>
  <cols>
    <col min="1" max="1" width="30.74609375" customWidth="1"/>
    <col min="2" max="2" width="21.03515625" customWidth="1"/>
    <col min="3" max="3" width="12.67578125" customWidth="1"/>
    <col min="4" max="4" width="11.0546875" customWidth="1"/>
  </cols>
  <sheetData>
    <row r="1" spans="1:5" ht="20.25" x14ac:dyDescent="0.25">
      <c r="A1" s="505" t="s">
        <v>1131</v>
      </c>
    </row>
    <row r="3" spans="1:5" ht="15" x14ac:dyDescent="0.15">
      <c r="A3" s="504" t="s">
        <v>1118</v>
      </c>
    </row>
    <row r="4" spans="1:5" ht="13.5" thickBot="1" x14ac:dyDescent="0.2">
      <c r="A4" s="487"/>
    </row>
    <row r="5" spans="1:5" ht="28.5" thickBot="1" x14ac:dyDescent="0.25">
      <c r="A5" s="496" t="s">
        <v>742</v>
      </c>
      <c r="B5" s="497" t="s">
        <v>1119</v>
      </c>
      <c r="C5" s="497" t="s">
        <v>882</v>
      </c>
      <c r="D5" s="497" t="s">
        <v>883</v>
      </c>
      <c r="E5" s="498" t="s">
        <v>884</v>
      </c>
    </row>
    <row r="6" spans="1:5" ht="13.5" thickBot="1" x14ac:dyDescent="0.2">
      <c r="A6" s="499" t="s">
        <v>1120</v>
      </c>
      <c r="B6" s="485"/>
      <c r="C6" s="485"/>
      <c r="D6" s="485"/>
      <c r="E6" s="500"/>
    </row>
    <row r="7" spans="1:5" ht="25.5" thickBot="1" x14ac:dyDescent="0.2">
      <c r="A7" s="499"/>
      <c r="B7" s="485" t="s">
        <v>1121</v>
      </c>
      <c r="C7" s="485" t="s">
        <v>658</v>
      </c>
      <c r="D7" s="485">
        <v>1.5</v>
      </c>
      <c r="E7" s="500"/>
    </row>
    <row r="8" spans="1:5" ht="13.5" thickBot="1" x14ac:dyDescent="0.2">
      <c r="A8" s="499" t="s">
        <v>1122</v>
      </c>
      <c r="B8" s="485"/>
      <c r="C8" s="485"/>
      <c r="D8" s="485"/>
      <c r="E8" s="500"/>
    </row>
    <row r="9" spans="1:5" ht="25.5" thickBot="1" x14ac:dyDescent="0.2">
      <c r="A9" s="499"/>
      <c r="B9" s="485" t="s">
        <v>1123</v>
      </c>
      <c r="C9" s="485" t="s">
        <v>658</v>
      </c>
      <c r="D9" s="485">
        <v>1.8</v>
      </c>
      <c r="E9" s="500"/>
    </row>
    <row r="10" spans="1:5" ht="25.5" thickBot="1" x14ac:dyDescent="0.2">
      <c r="A10" s="499"/>
      <c r="B10" s="485" t="s">
        <v>1124</v>
      </c>
      <c r="C10" s="485" t="s">
        <v>658</v>
      </c>
      <c r="D10" s="485">
        <v>2</v>
      </c>
      <c r="E10" s="500"/>
    </row>
    <row r="11" spans="1:5" ht="13.5" thickBot="1" x14ac:dyDescent="0.2">
      <c r="A11" s="499" t="s">
        <v>1125</v>
      </c>
      <c r="B11" s="485"/>
      <c r="C11" s="485"/>
      <c r="D11" s="485"/>
      <c r="E11" s="500"/>
    </row>
    <row r="12" spans="1:5" ht="25.5" thickBot="1" x14ac:dyDescent="0.2">
      <c r="A12" s="499"/>
      <c r="B12" s="485" t="s">
        <v>1124</v>
      </c>
      <c r="C12" s="485" t="s">
        <v>658</v>
      </c>
      <c r="D12" s="485">
        <v>2</v>
      </c>
      <c r="E12" s="500"/>
    </row>
    <row r="13" spans="1:5" ht="25.5" thickBot="1" x14ac:dyDescent="0.2">
      <c r="A13" s="499"/>
      <c r="B13" s="485" t="s">
        <v>1126</v>
      </c>
      <c r="C13" s="485" t="s">
        <v>658</v>
      </c>
      <c r="D13" s="485">
        <v>2.4</v>
      </c>
      <c r="E13" s="500"/>
    </row>
    <row r="14" spans="1:5" ht="25.5" thickBot="1" x14ac:dyDescent="0.2">
      <c r="A14" s="499" t="s">
        <v>1127</v>
      </c>
      <c r="B14" s="485"/>
      <c r="C14" s="485"/>
      <c r="D14" s="485"/>
      <c r="E14" s="500"/>
    </row>
    <row r="15" spans="1:5" ht="25.5" thickBot="1" x14ac:dyDescent="0.2">
      <c r="A15" s="499"/>
      <c r="B15" s="485" t="s">
        <v>1123</v>
      </c>
      <c r="C15" s="485" t="s">
        <v>658</v>
      </c>
      <c r="D15" s="485">
        <v>2</v>
      </c>
      <c r="E15" s="500"/>
    </row>
    <row r="16" spans="1:5" ht="25.5" thickBot="1" x14ac:dyDescent="0.2">
      <c r="A16" s="499"/>
      <c r="B16" s="485" t="s">
        <v>1124</v>
      </c>
      <c r="C16" s="485" t="s">
        <v>658</v>
      </c>
      <c r="D16" s="485">
        <v>2.4</v>
      </c>
      <c r="E16" s="500"/>
    </row>
    <row r="17" spans="1:5" ht="13.5" thickBot="1" x14ac:dyDescent="0.2">
      <c r="A17" s="499" t="s">
        <v>1128</v>
      </c>
      <c r="B17" s="485"/>
      <c r="C17" s="485"/>
      <c r="D17" s="485"/>
      <c r="E17" s="500"/>
    </row>
    <row r="18" spans="1:5" ht="25.5" thickBot="1" x14ac:dyDescent="0.2">
      <c r="A18" s="499"/>
      <c r="B18" s="485" t="s">
        <v>1129</v>
      </c>
      <c r="C18" s="485" t="s">
        <v>658</v>
      </c>
      <c r="D18" s="485">
        <v>4</v>
      </c>
      <c r="E18" s="500"/>
    </row>
    <row r="19" spans="1:5" ht="25.5" thickBot="1" x14ac:dyDescent="0.2">
      <c r="A19" s="501"/>
      <c r="B19" s="502" t="s">
        <v>1130</v>
      </c>
      <c r="C19" s="502" t="s">
        <v>658</v>
      </c>
      <c r="D19" s="502">
        <v>6</v>
      </c>
      <c r="E19" s="503"/>
    </row>
    <row r="21" spans="1:5" ht="26.25" x14ac:dyDescent="0.15">
      <c r="A21" s="479" t="s">
        <v>1132</v>
      </c>
    </row>
    <row r="22" spans="1:5" ht="15" thickBot="1" x14ac:dyDescent="0.2">
      <c r="A22" s="480"/>
    </row>
    <row r="23" spans="1:5" ht="28.5" thickBot="1" x14ac:dyDescent="0.25">
      <c r="A23" s="481" t="s">
        <v>742</v>
      </c>
      <c r="B23" s="481" t="s">
        <v>741</v>
      </c>
      <c r="C23" s="481" t="s">
        <v>882</v>
      </c>
      <c r="D23" s="481" t="s">
        <v>883</v>
      </c>
      <c r="E23" s="481" t="s">
        <v>884</v>
      </c>
    </row>
    <row r="24" spans="1:5" ht="13.5" thickBot="1" x14ac:dyDescent="0.2">
      <c r="A24" s="482" t="s">
        <v>1133</v>
      </c>
      <c r="B24" s="483"/>
      <c r="C24" s="483"/>
      <c r="D24" s="484"/>
      <c r="E24" s="485"/>
    </row>
    <row r="25" spans="1:5" ht="13.5" thickBot="1" x14ac:dyDescent="0.2">
      <c r="A25" s="482"/>
      <c r="B25" s="483" t="s">
        <v>1134</v>
      </c>
      <c r="C25" s="483" t="s">
        <v>78</v>
      </c>
      <c r="D25" s="484">
        <v>0.16</v>
      </c>
      <c r="E25" s="485"/>
    </row>
    <row r="26" spans="1:5" ht="13.5" thickBot="1" x14ac:dyDescent="0.2">
      <c r="A26" s="482"/>
      <c r="B26" s="483" t="s">
        <v>1135</v>
      </c>
      <c r="C26" s="483" t="s">
        <v>78</v>
      </c>
      <c r="D26" s="484">
        <v>0.18</v>
      </c>
      <c r="E26" s="485"/>
    </row>
    <row r="27" spans="1:5" ht="13.5" thickBot="1" x14ac:dyDescent="0.2">
      <c r="A27" s="482"/>
      <c r="B27" s="483" t="s">
        <v>1136</v>
      </c>
      <c r="C27" s="483" t="s">
        <v>78</v>
      </c>
      <c r="D27" s="484">
        <v>0.15</v>
      </c>
      <c r="E27" s="485"/>
    </row>
    <row r="28" spans="1:5" ht="13.5" thickBot="1" x14ac:dyDescent="0.2">
      <c r="A28" s="482"/>
      <c r="B28" s="483" t="s">
        <v>1137</v>
      </c>
      <c r="C28" s="483" t="s">
        <v>78</v>
      </c>
      <c r="D28" s="484">
        <v>0.25</v>
      </c>
      <c r="E28" s="485"/>
    </row>
    <row r="29" spans="1:5" ht="13.5" thickBot="1" x14ac:dyDescent="0.2">
      <c r="A29" s="482"/>
      <c r="B29" s="483" t="s">
        <v>270</v>
      </c>
      <c r="C29" s="483" t="s">
        <v>78</v>
      </c>
      <c r="D29" s="484">
        <v>0.18</v>
      </c>
      <c r="E29" s="485"/>
    </row>
    <row r="30" spans="1:5" ht="15" thickBot="1" x14ac:dyDescent="0.2">
      <c r="A30" s="468"/>
    </row>
    <row r="31" spans="1:5" ht="15.75" thickBot="1" x14ac:dyDescent="0.25">
      <c r="A31" s="470" t="s">
        <v>913</v>
      </c>
      <c r="B31" s="507" t="s">
        <v>914</v>
      </c>
      <c r="C31" s="507" t="s">
        <v>915</v>
      </c>
      <c r="D31" s="507" t="s">
        <v>916</v>
      </c>
      <c r="E31" s="508" t="s">
        <v>917</v>
      </c>
    </row>
    <row r="32" spans="1:5" ht="13.5" thickBot="1" x14ac:dyDescent="0.2">
      <c r="A32" s="499" t="s">
        <v>1138</v>
      </c>
      <c r="B32" s="506" t="s">
        <v>946</v>
      </c>
      <c r="C32" s="506" t="s">
        <v>986</v>
      </c>
      <c r="D32" s="506" t="s">
        <v>944</v>
      </c>
      <c r="E32" s="500" t="s">
        <v>980</v>
      </c>
    </row>
    <row r="33" spans="1:5" ht="13.5" thickBot="1" x14ac:dyDescent="0.2">
      <c r="A33" s="499" t="s">
        <v>1139</v>
      </c>
      <c r="B33" s="506" t="s">
        <v>1140</v>
      </c>
      <c r="C33" s="506" t="s">
        <v>1054</v>
      </c>
      <c r="D33" s="506" t="s">
        <v>946</v>
      </c>
      <c r="E33" s="500" t="s">
        <v>980</v>
      </c>
    </row>
    <row r="34" spans="1:5" ht="13.5" thickBot="1" x14ac:dyDescent="0.2">
      <c r="A34" s="499" t="s">
        <v>1141</v>
      </c>
      <c r="B34" s="506" t="s">
        <v>986</v>
      </c>
      <c r="C34" s="506" t="s">
        <v>944</v>
      </c>
      <c r="D34" s="506" t="s">
        <v>937</v>
      </c>
      <c r="E34" s="500" t="s">
        <v>980</v>
      </c>
    </row>
    <row r="35" spans="1:5" ht="13.5" thickBot="1" x14ac:dyDescent="0.2">
      <c r="A35" s="499" t="s">
        <v>1142</v>
      </c>
      <c r="B35" s="506" t="s">
        <v>982</v>
      </c>
      <c r="C35" s="506" t="s">
        <v>945</v>
      </c>
      <c r="D35" s="506" t="s">
        <v>986</v>
      </c>
      <c r="E35" s="500" t="s">
        <v>980</v>
      </c>
    </row>
    <row r="36" spans="1:5" ht="13.5" thickBot="1" x14ac:dyDescent="0.2">
      <c r="A36" s="499" t="s">
        <v>1143</v>
      </c>
      <c r="B36" s="506" t="s">
        <v>924</v>
      </c>
      <c r="C36" s="506" t="s">
        <v>1091</v>
      </c>
      <c r="D36" s="506" t="s">
        <v>982</v>
      </c>
      <c r="E36" s="500" t="s">
        <v>980</v>
      </c>
    </row>
    <row r="37" spans="1:5" ht="13.5" thickBot="1" x14ac:dyDescent="0.2">
      <c r="A37" s="499" t="s">
        <v>1144</v>
      </c>
      <c r="B37" s="506" t="s">
        <v>1145</v>
      </c>
      <c r="C37" s="506" t="s">
        <v>944</v>
      </c>
      <c r="D37" s="506" t="s">
        <v>937</v>
      </c>
      <c r="E37" s="500" t="s">
        <v>980</v>
      </c>
    </row>
    <row r="38" spans="1:5" ht="13.5" thickBot="1" x14ac:dyDescent="0.2">
      <c r="A38" s="499" t="s">
        <v>1146</v>
      </c>
      <c r="B38" s="506" t="s">
        <v>945</v>
      </c>
      <c r="C38" s="506" t="s">
        <v>986</v>
      </c>
      <c r="D38" s="506" t="s">
        <v>944</v>
      </c>
      <c r="E38" s="500" t="s">
        <v>980</v>
      </c>
    </row>
    <row r="39" spans="1:5" ht="13.5" thickBot="1" x14ac:dyDescent="0.2">
      <c r="A39" s="499" t="s">
        <v>1147</v>
      </c>
      <c r="B39" s="506" t="s">
        <v>1091</v>
      </c>
      <c r="C39" s="506" t="s">
        <v>941</v>
      </c>
      <c r="D39" s="506" t="s">
        <v>945</v>
      </c>
      <c r="E39" s="500" t="s">
        <v>980</v>
      </c>
    </row>
    <row r="40" spans="1:5" ht="13.5" thickBot="1" x14ac:dyDescent="0.2">
      <c r="A40" s="499" t="s">
        <v>1148</v>
      </c>
      <c r="B40" s="506" t="s">
        <v>986</v>
      </c>
      <c r="C40" s="506" t="s">
        <v>944</v>
      </c>
      <c r="D40" s="506" t="s">
        <v>1145</v>
      </c>
      <c r="E40" s="500" t="s">
        <v>980</v>
      </c>
    </row>
    <row r="41" spans="1:5" ht="13.5" thickBot="1" x14ac:dyDescent="0.2">
      <c r="A41" s="499" t="s">
        <v>1149</v>
      </c>
      <c r="B41" s="506" t="s">
        <v>1091</v>
      </c>
      <c r="C41" s="506" t="s">
        <v>946</v>
      </c>
      <c r="D41" s="506" t="s">
        <v>945</v>
      </c>
      <c r="E41" s="500" t="s">
        <v>980</v>
      </c>
    </row>
    <row r="42" spans="1:5" ht="13.5" thickBot="1" x14ac:dyDescent="0.2">
      <c r="A42" s="499" t="s">
        <v>1150</v>
      </c>
      <c r="B42" s="506" t="s">
        <v>942</v>
      </c>
      <c r="C42" s="506" t="s">
        <v>1091</v>
      </c>
      <c r="D42" s="506" t="s">
        <v>1151</v>
      </c>
      <c r="E42" s="500" t="s">
        <v>980</v>
      </c>
    </row>
    <row r="43" spans="1:5" ht="13.5" thickBot="1" x14ac:dyDescent="0.2">
      <c r="A43" s="499" t="s">
        <v>1152</v>
      </c>
      <c r="B43" s="506" t="s">
        <v>937</v>
      </c>
      <c r="C43" s="506" t="s">
        <v>944</v>
      </c>
      <c r="D43" s="506" t="s">
        <v>1145</v>
      </c>
      <c r="E43" s="500" t="s">
        <v>1153</v>
      </c>
    </row>
    <row r="44" spans="1:5" ht="13.5" thickBot="1" x14ac:dyDescent="0.2">
      <c r="A44" s="499" t="s">
        <v>1154</v>
      </c>
      <c r="B44" s="506" t="s">
        <v>937</v>
      </c>
      <c r="C44" s="506" t="s">
        <v>986</v>
      </c>
      <c r="D44" s="506" t="s">
        <v>944</v>
      </c>
      <c r="E44" s="500" t="s">
        <v>1153</v>
      </c>
    </row>
    <row r="45" spans="1:5" ht="13.5" thickBot="1" x14ac:dyDescent="0.2">
      <c r="A45" s="499" t="s">
        <v>1155</v>
      </c>
      <c r="B45" s="506" t="s">
        <v>937</v>
      </c>
      <c r="C45" s="506" t="s">
        <v>1095</v>
      </c>
      <c r="D45" s="506" t="s">
        <v>1156</v>
      </c>
      <c r="E45" s="500" t="s">
        <v>922</v>
      </c>
    </row>
    <row r="46" spans="1:5" ht="13.5" thickBot="1" x14ac:dyDescent="0.2">
      <c r="A46" s="499" t="s">
        <v>1157</v>
      </c>
      <c r="B46" s="506" t="s">
        <v>937</v>
      </c>
      <c r="C46" s="506" t="s">
        <v>965</v>
      </c>
      <c r="D46" s="506" t="s">
        <v>1158</v>
      </c>
      <c r="E46" s="500" t="s">
        <v>922</v>
      </c>
    </row>
    <row r="47" spans="1:5" ht="13.5" thickBot="1" x14ac:dyDescent="0.2">
      <c r="A47" s="499" t="s">
        <v>1159</v>
      </c>
      <c r="B47" s="506" t="s">
        <v>937</v>
      </c>
      <c r="C47" s="506" t="s">
        <v>1160</v>
      </c>
      <c r="D47" s="506" t="s">
        <v>973</v>
      </c>
      <c r="E47" s="500" t="s">
        <v>922</v>
      </c>
    </row>
    <row r="48" spans="1:5" ht="13.5" thickBot="1" x14ac:dyDescent="0.2">
      <c r="A48" s="499" t="s">
        <v>1161</v>
      </c>
      <c r="B48" s="506" t="s">
        <v>937</v>
      </c>
      <c r="C48" s="506" t="s">
        <v>1097</v>
      </c>
      <c r="D48" s="506" t="s">
        <v>933</v>
      </c>
      <c r="E48" s="500" t="s">
        <v>922</v>
      </c>
    </row>
    <row r="49" spans="1:5" ht="13.5" thickBot="1" x14ac:dyDescent="0.2">
      <c r="A49" s="499" t="s">
        <v>1162</v>
      </c>
      <c r="B49" s="506" t="s">
        <v>937</v>
      </c>
      <c r="C49" s="506" t="s">
        <v>1163</v>
      </c>
      <c r="D49" s="506" t="s">
        <v>971</v>
      </c>
      <c r="E49" s="500" t="s">
        <v>922</v>
      </c>
    </row>
    <row r="50" spans="1:5" ht="13.5" thickBot="1" x14ac:dyDescent="0.2">
      <c r="A50" s="499" t="s">
        <v>1164</v>
      </c>
      <c r="B50" s="506" t="s">
        <v>937</v>
      </c>
      <c r="C50" s="506" t="s">
        <v>1156</v>
      </c>
      <c r="D50" s="506" t="s">
        <v>1165</v>
      </c>
      <c r="E50" s="500" t="s">
        <v>922</v>
      </c>
    </row>
    <row r="51" spans="1:5" ht="25.5" thickBot="1" x14ac:dyDescent="0.2">
      <c r="A51" s="499" t="s">
        <v>1166</v>
      </c>
      <c r="B51" s="506" t="s">
        <v>937</v>
      </c>
      <c r="C51" s="506" t="s">
        <v>1167</v>
      </c>
      <c r="D51" s="506" t="s">
        <v>937</v>
      </c>
      <c r="E51" s="500" t="s">
        <v>922</v>
      </c>
    </row>
    <row r="52" spans="1:5" ht="25.5" thickBot="1" x14ac:dyDescent="0.2">
      <c r="A52" s="499" t="s">
        <v>1168</v>
      </c>
      <c r="B52" s="506" t="s">
        <v>937</v>
      </c>
      <c r="C52" s="506" t="s">
        <v>1169</v>
      </c>
      <c r="D52" s="506" t="s">
        <v>937</v>
      </c>
      <c r="E52" s="500" t="s">
        <v>922</v>
      </c>
    </row>
    <row r="53" spans="1:5" ht="13.5" thickBot="1" x14ac:dyDescent="0.2">
      <c r="A53" s="499" t="s">
        <v>1170</v>
      </c>
      <c r="B53" s="506" t="s">
        <v>937</v>
      </c>
      <c r="C53" s="506" t="s">
        <v>1171</v>
      </c>
      <c r="D53" s="506" t="s">
        <v>937</v>
      </c>
      <c r="E53" s="500" t="s">
        <v>922</v>
      </c>
    </row>
    <row r="54" spans="1:5" ht="13.5" thickBot="1" x14ac:dyDescent="0.2">
      <c r="A54" s="499" t="s">
        <v>1172</v>
      </c>
      <c r="B54" s="506" t="s">
        <v>1173</v>
      </c>
      <c r="C54" s="506" t="s">
        <v>1174</v>
      </c>
      <c r="D54" s="506" t="s">
        <v>1175</v>
      </c>
      <c r="E54" s="500" t="s">
        <v>922</v>
      </c>
    </row>
    <row r="55" spans="1:5" ht="13.5" thickBot="1" x14ac:dyDescent="0.2">
      <c r="A55" s="499" t="s">
        <v>1176</v>
      </c>
      <c r="B55" s="506" t="s">
        <v>937</v>
      </c>
      <c r="C55" s="506" t="s">
        <v>1091</v>
      </c>
      <c r="D55" s="506" t="s">
        <v>937</v>
      </c>
      <c r="E55" s="500" t="s">
        <v>1177</v>
      </c>
    </row>
    <row r="56" spans="1:5" ht="13.5" thickBot="1" x14ac:dyDescent="0.2">
      <c r="A56" s="499" t="s">
        <v>1178</v>
      </c>
      <c r="B56" s="506" t="s">
        <v>1179</v>
      </c>
      <c r="C56" s="506" t="s">
        <v>1180</v>
      </c>
      <c r="D56" s="506" t="s">
        <v>1107</v>
      </c>
      <c r="E56" s="500" t="s">
        <v>922</v>
      </c>
    </row>
    <row r="57" spans="1:5" ht="13.5" thickBot="1" x14ac:dyDescent="0.2">
      <c r="A57" s="499" t="s">
        <v>1181</v>
      </c>
      <c r="B57" s="506" t="s">
        <v>1182</v>
      </c>
      <c r="C57" s="506" t="s">
        <v>1183</v>
      </c>
      <c r="D57" s="506" t="s">
        <v>1184</v>
      </c>
      <c r="E57" s="500" t="s">
        <v>922</v>
      </c>
    </row>
    <row r="58" spans="1:5" ht="25.5" thickBot="1" x14ac:dyDescent="0.2">
      <c r="A58" s="499" t="s">
        <v>1185</v>
      </c>
      <c r="B58" s="506" t="s">
        <v>1140</v>
      </c>
      <c r="C58" s="506" t="s">
        <v>1054</v>
      </c>
      <c r="D58" s="506" t="s">
        <v>946</v>
      </c>
      <c r="E58" s="500" t="s">
        <v>980</v>
      </c>
    </row>
    <row r="59" spans="1:5" ht="25.5" thickBot="1" x14ac:dyDescent="0.2">
      <c r="A59" s="499" t="s">
        <v>1186</v>
      </c>
      <c r="B59" s="506" t="s">
        <v>1187</v>
      </c>
      <c r="C59" s="506" t="s">
        <v>1091</v>
      </c>
      <c r="D59" s="506" t="s">
        <v>1054</v>
      </c>
      <c r="E59" s="500" t="s">
        <v>980</v>
      </c>
    </row>
    <row r="60" spans="1:5" ht="25.5" thickBot="1" x14ac:dyDescent="0.2">
      <c r="A60" s="499" t="s">
        <v>1188</v>
      </c>
      <c r="B60" s="506" t="s">
        <v>937</v>
      </c>
      <c r="C60" s="506" t="s">
        <v>1145</v>
      </c>
      <c r="D60" s="506" t="s">
        <v>937</v>
      </c>
      <c r="E60" s="500" t="s">
        <v>980</v>
      </c>
    </row>
    <row r="61" spans="1:5" ht="25.5" thickBot="1" x14ac:dyDescent="0.2">
      <c r="A61" s="499" t="s">
        <v>1189</v>
      </c>
      <c r="B61" s="506" t="s">
        <v>937</v>
      </c>
      <c r="C61" s="506" t="s">
        <v>946</v>
      </c>
      <c r="D61" s="506" t="s">
        <v>937</v>
      </c>
      <c r="E61" s="500" t="s">
        <v>980</v>
      </c>
    </row>
    <row r="62" spans="1:5" ht="13.5" thickBot="1" x14ac:dyDescent="0.2">
      <c r="A62" s="499" t="s">
        <v>1190</v>
      </c>
      <c r="B62" s="506" t="s">
        <v>937</v>
      </c>
      <c r="C62" s="506" t="s">
        <v>986</v>
      </c>
      <c r="D62" s="506" t="s">
        <v>937</v>
      </c>
      <c r="E62" s="500" t="s">
        <v>980</v>
      </c>
    </row>
    <row r="63" spans="1:5" ht="13.5" thickBot="1" x14ac:dyDescent="0.2">
      <c r="A63" s="499" t="s">
        <v>1191</v>
      </c>
      <c r="B63" s="506" t="s">
        <v>937</v>
      </c>
      <c r="C63" s="506" t="s">
        <v>941</v>
      </c>
      <c r="D63" s="506" t="s">
        <v>946</v>
      </c>
      <c r="E63" s="500" t="s">
        <v>980</v>
      </c>
    </row>
    <row r="64" spans="1:5" ht="13.5" thickBot="1" x14ac:dyDescent="0.2">
      <c r="A64" s="499" t="s">
        <v>1192</v>
      </c>
      <c r="B64" s="506" t="s">
        <v>937</v>
      </c>
      <c r="C64" s="506" t="s">
        <v>982</v>
      </c>
      <c r="D64" s="506" t="s">
        <v>945</v>
      </c>
      <c r="E64" s="500" t="s">
        <v>980</v>
      </c>
    </row>
    <row r="65" spans="1:5" ht="13.5" thickBot="1" x14ac:dyDescent="0.2">
      <c r="A65" s="499" t="s">
        <v>1193</v>
      </c>
      <c r="B65" s="506" t="s">
        <v>937</v>
      </c>
      <c r="C65" s="506" t="s">
        <v>941</v>
      </c>
      <c r="D65" s="506" t="s">
        <v>982</v>
      </c>
      <c r="E65" s="500" t="s">
        <v>980</v>
      </c>
    </row>
    <row r="66" spans="1:5" ht="25.5" thickBot="1" x14ac:dyDescent="0.2">
      <c r="A66" s="499" t="s">
        <v>1194</v>
      </c>
      <c r="B66" s="506" t="s">
        <v>1187</v>
      </c>
      <c r="C66" s="506" t="s">
        <v>930</v>
      </c>
      <c r="D66" s="506" t="s">
        <v>929</v>
      </c>
      <c r="E66" s="500" t="s">
        <v>980</v>
      </c>
    </row>
    <row r="67" spans="1:5" ht="25.5" thickBot="1" x14ac:dyDescent="0.2">
      <c r="A67" s="499" t="s">
        <v>1195</v>
      </c>
      <c r="B67" s="506" t="s">
        <v>971</v>
      </c>
      <c r="C67" s="506" t="s">
        <v>960</v>
      </c>
      <c r="D67" s="506" t="s">
        <v>951</v>
      </c>
      <c r="E67" s="500" t="s">
        <v>980</v>
      </c>
    </row>
    <row r="68" spans="1:5" ht="25.5" thickBot="1" x14ac:dyDescent="0.2">
      <c r="A68" s="499" t="s">
        <v>1196</v>
      </c>
      <c r="B68" s="506" t="s">
        <v>937</v>
      </c>
      <c r="C68" s="506" t="s">
        <v>1095</v>
      </c>
      <c r="D68" s="506" t="s">
        <v>937</v>
      </c>
      <c r="E68" s="500" t="s">
        <v>980</v>
      </c>
    </row>
    <row r="69" spans="1:5" ht="25.5" thickBot="1" x14ac:dyDescent="0.2">
      <c r="A69" s="499" t="s">
        <v>1197</v>
      </c>
      <c r="B69" s="506" t="s">
        <v>1091</v>
      </c>
      <c r="C69" s="506" t="s">
        <v>946</v>
      </c>
      <c r="D69" s="506" t="s">
        <v>989</v>
      </c>
      <c r="E69" s="500" t="s">
        <v>980</v>
      </c>
    </row>
    <row r="70" spans="1:5" ht="25.5" thickBot="1" x14ac:dyDescent="0.2">
      <c r="A70" s="499" t="s">
        <v>1198</v>
      </c>
      <c r="B70" s="506" t="s">
        <v>1054</v>
      </c>
      <c r="C70" s="506" t="s">
        <v>945</v>
      </c>
      <c r="D70" s="506" t="s">
        <v>944</v>
      </c>
      <c r="E70" s="500" t="s">
        <v>980</v>
      </c>
    </row>
    <row r="71" spans="1:5" ht="25.5" thickBot="1" x14ac:dyDescent="0.2">
      <c r="A71" s="499" t="s">
        <v>1199</v>
      </c>
      <c r="B71" s="506" t="s">
        <v>1054</v>
      </c>
      <c r="C71" s="506" t="s">
        <v>937</v>
      </c>
      <c r="D71" s="506" t="s">
        <v>1145</v>
      </c>
      <c r="E71" s="500" t="s">
        <v>980</v>
      </c>
    </row>
    <row r="72" spans="1:5" ht="13.5" thickBot="1" x14ac:dyDescent="0.2">
      <c r="A72" s="499" t="s">
        <v>1200</v>
      </c>
      <c r="B72" s="506" t="s">
        <v>944</v>
      </c>
      <c r="C72" s="506" t="s">
        <v>1145</v>
      </c>
      <c r="D72" s="506" t="s">
        <v>937</v>
      </c>
      <c r="E72" s="500" t="s">
        <v>980</v>
      </c>
    </row>
    <row r="73" spans="1:5" ht="13.5" thickBot="1" x14ac:dyDescent="0.2">
      <c r="A73" s="509" t="s">
        <v>1201</v>
      </c>
      <c r="B73" s="510" t="s">
        <v>937</v>
      </c>
      <c r="C73" s="510" t="s">
        <v>945</v>
      </c>
      <c r="D73" s="510" t="s">
        <v>937</v>
      </c>
      <c r="E73" s="511" t="s">
        <v>927</v>
      </c>
    </row>
    <row r="75" spans="1:5" ht="26.25" x14ac:dyDescent="0.15">
      <c r="A75" s="479" t="s">
        <v>1202</v>
      </c>
    </row>
    <row r="76" spans="1:5" ht="15" thickBot="1" x14ac:dyDescent="0.2">
      <c r="A76" s="480"/>
    </row>
    <row r="77" spans="1:5" ht="15.75" thickBot="1" x14ac:dyDescent="0.25">
      <c r="A77" s="470" t="s">
        <v>913</v>
      </c>
      <c r="B77" s="507" t="s">
        <v>914</v>
      </c>
      <c r="C77" s="507" t="s">
        <v>915</v>
      </c>
      <c r="D77" s="507" t="s">
        <v>916</v>
      </c>
      <c r="E77" s="508" t="s">
        <v>917</v>
      </c>
    </row>
    <row r="78" spans="1:5" ht="25.5" thickBot="1" x14ac:dyDescent="0.2">
      <c r="A78" s="499" t="s">
        <v>1203</v>
      </c>
      <c r="B78" s="506" t="s">
        <v>929</v>
      </c>
      <c r="C78" s="506" t="s">
        <v>945</v>
      </c>
      <c r="D78" s="506" t="s">
        <v>989</v>
      </c>
      <c r="E78" s="500" t="s">
        <v>980</v>
      </c>
    </row>
    <row r="79" spans="1:5" ht="25.5" thickBot="1" x14ac:dyDescent="0.2">
      <c r="A79" s="499" t="s">
        <v>1204</v>
      </c>
      <c r="B79" s="506" t="s">
        <v>944</v>
      </c>
      <c r="C79" s="506" t="s">
        <v>989</v>
      </c>
      <c r="D79" s="506" t="s">
        <v>937</v>
      </c>
      <c r="E79" s="500" t="s">
        <v>980</v>
      </c>
    </row>
    <row r="80" spans="1:5" ht="13.5" thickBot="1" x14ac:dyDescent="0.2">
      <c r="A80" s="499" t="s">
        <v>1205</v>
      </c>
      <c r="B80" s="506" t="s">
        <v>937</v>
      </c>
      <c r="C80" s="506" t="s">
        <v>1145</v>
      </c>
      <c r="D80" s="506" t="s">
        <v>937</v>
      </c>
      <c r="E80" s="500" t="s">
        <v>980</v>
      </c>
    </row>
    <row r="81" spans="1:5" ht="13.5" thickBot="1" x14ac:dyDescent="0.2">
      <c r="A81" s="499" t="s">
        <v>1206</v>
      </c>
      <c r="B81" s="506" t="s">
        <v>945</v>
      </c>
      <c r="C81" s="506" t="s">
        <v>986</v>
      </c>
      <c r="D81" s="506" t="s">
        <v>937</v>
      </c>
      <c r="E81" s="500" t="s">
        <v>980</v>
      </c>
    </row>
    <row r="82" spans="1:5" ht="13.5" thickBot="1" x14ac:dyDescent="0.2">
      <c r="A82" s="499" t="s">
        <v>1207</v>
      </c>
      <c r="B82" s="506" t="s">
        <v>1091</v>
      </c>
      <c r="C82" s="506" t="s">
        <v>941</v>
      </c>
      <c r="D82" s="506" t="s">
        <v>937</v>
      </c>
      <c r="E82" s="500" t="s">
        <v>980</v>
      </c>
    </row>
    <row r="83" spans="1:5" ht="13.5" thickBot="1" x14ac:dyDescent="0.2">
      <c r="A83" s="499" t="s">
        <v>1208</v>
      </c>
      <c r="B83" s="506" t="s">
        <v>937</v>
      </c>
      <c r="C83" s="506" t="s">
        <v>944</v>
      </c>
      <c r="D83" s="506" t="s">
        <v>937</v>
      </c>
      <c r="E83" s="500" t="s">
        <v>980</v>
      </c>
    </row>
    <row r="84" spans="1:5" ht="13.5" thickBot="1" x14ac:dyDescent="0.2">
      <c r="A84" s="499" t="s">
        <v>1209</v>
      </c>
      <c r="B84" s="506" t="s">
        <v>946</v>
      </c>
      <c r="C84" s="506" t="s">
        <v>944</v>
      </c>
      <c r="D84" s="506" t="s">
        <v>937</v>
      </c>
      <c r="E84" s="500" t="s">
        <v>980</v>
      </c>
    </row>
    <row r="85" spans="1:5" ht="25.5" thickBot="1" x14ac:dyDescent="0.2">
      <c r="A85" s="499" t="s">
        <v>1210</v>
      </c>
      <c r="B85" s="506" t="s">
        <v>942</v>
      </c>
      <c r="C85" s="506" t="s">
        <v>1151</v>
      </c>
      <c r="D85" s="506" t="s">
        <v>937</v>
      </c>
      <c r="E85" s="500" t="s">
        <v>980</v>
      </c>
    </row>
    <row r="86" spans="1:5" ht="13.5" thickBot="1" x14ac:dyDescent="0.2">
      <c r="A86" s="499" t="s">
        <v>1211</v>
      </c>
      <c r="B86" s="506" t="s">
        <v>937</v>
      </c>
      <c r="C86" s="506" t="s">
        <v>1212</v>
      </c>
      <c r="D86" s="506" t="s">
        <v>937</v>
      </c>
      <c r="E86" s="500" t="s">
        <v>978</v>
      </c>
    </row>
    <row r="87" spans="1:5" ht="13.5" thickBot="1" x14ac:dyDescent="0.2">
      <c r="A87" s="499" t="s">
        <v>1213</v>
      </c>
      <c r="B87" s="506" t="s">
        <v>937</v>
      </c>
      <c r="C87" s="506" t="s">
        <v>989</v>
      </c>
      <c r="D87" s="506" t="s">
        <v>937</v>
      </c>
      <c r="E87" s="500" t="s">
        <v>1153</v>
      </c>
    </row>
    <row r="88" spans="1:5" ht="13.5" thickBot="1" x14ac:dyDescent="0.2">
      <c r="A88" s="499" t="s">
        <v>1214</v>
      </c>
      <c r="B88" s="506" t="s">
        <v>937</v>
      </c>
      <c r="C88" s="506" t="s">
        <v>944</v>
      </c>
      <c r="D88" s="506" t="s">
        <v>937</v>
      </c>
      <c r="E88" s="500" t="s">
        <v>978</v>
      </c>
    </row>
    <row r="89" spans="1:5" ht="13.5" thickBot="1" x14ac:dyDescent="0.2">
      <c r="A89" s="499" t="s">
        <v>1215</v>
      </c>
      <c r="B89" s="506" t="s">
        <v>1216</v>
      </c>
      <c r="C89" s="506" t="s">
        <v>1217</v>
      </c>
      <c r="D89" s="506" t="s">
        <v>1218</v>
      </c>
      <c r="E89" s="500" t="s">
        <v>978</v>
      </c>
    </row>
    <row r="90" spans="1:5" ht="13.5" thickBot="1" x14ac:dyDescent="0.2">
      <c r="A90" s="499" t="s">
        <v>1219</v>
      </c>
      <c r="B90" s="506" t="s">
        <v>921</v>
      </c>
      <c r="C90" s="506" t="s">
        <v>1220</v>
      </c>
      <c r="D90" s="506" t="s">
        <v>1221</v>
      </c>
      <c r="E90" s="500" t="s">
        <v>978</v>
      </c>
    </row>
    <row r="91" spans="1:5" ht="13.5" thickBot="1" x14ac:dyDescent="0.2">
      <c r="A91" s="499" t="s">
        <v>1222</v>
      </c>
      <c r="B91" s="506" t="s">
        <v>933</v>
      </c>
      <c r="C91" s="506" t="s">
        <v>966</v>
      </c>
      <c r="D91" s="506" t="s">
        <v>962</v>
      </c>
      <c r="E91" s="500" t="s">
        <v>978</v>
      </c>
    </row>
    <row r="92" spans="1:5" ht="13.5" thickBot="1" x14ac:dyDescent="0.2">
      <c r="A92" s="499" t="s">
        <v>1223</v>
      </c>
      <c r="B92" s="506" t="s">
        <v>1224</v>
      </c>
      <c r="C92" s="506" t="s">
        <v>1225</v>
      </c>
      <c r="D92" s="506" t="s">
        <v>1226</v>
      </c>
      <c r="E92" s="500" t="s">
        <v>978</v>
      </c>
    </row>
    <row r="93" spans="1:5" ht="13.5" thickBot="1" x14ac:dyDescent="0.2">
      <c r="A93" s="499" t="s">
        <v>1227</v>
      </c>
      <c r="B93" s="506" t="s">
        <v>1228</v>
      </c>
      <c r="C93" s="506" t="s">
        <v>1229</v>
      </c>
      <c r="D93" s="506" t="s">
        <v>1230</v>
      </c>
      <c r="E93" s="500" t="s">
        <v>978</v>
      </c>
    </row>
    <row r="94" spans="1:5" ht="13.5" thickBot="1" x14ac:dyDescent="0.2">
      <c r="A94" s="499" t="s">
        <v>1231</v>
      </c>
      <c r="B94" s="506" t="s">
        <v>1217</v>
      </c>
      <c r="C94" s="506" t="s">
        <v>1228</v>
      </c>
      <c r="D94" s="506" t="s">
        <v>973</v>
      </c>
      <c r="E94" s="500" t="s">
        <v>978</v>
      </c>
    </row>
    <row r="95" spans="1:5" ht="13.5" thickBot="1" x14ac:dyDescent="0.2">
      <c r="A95" s="499" t="s">
        <v>1232</v>
      </c>
      <c r="B95" s="506" t="s">
        <v>1104</v>
      </c>
      <c r="C95" s="506" t="s">
        <v>1107</v>
      </c>
      <c r="D95" s="506" t="s">
        <v>977</v>
      </c>
      <c r="E95" s="500" t="s">
        <v>978</v>
      </c>
    </row>
    <row r="96" spans="1:5" ht="13.5" thickBot="1" x14ac:dyDescent="0.2">
      <c r="A96" s="499" t="s">
        <v>1233</v>
      </c>
      <c r="B96" s="506" t="s">
        <v>1234</v>
      </c>
      <c r="C96" s="506" t="s">
        <v>1235</v>
      </c>
      <c r="D96" s="506" t="s">
        <v>1236</v>
      </c>
      <c r="E96" s="500" t="s">
        <v>978</v>
      </c>
    </row>
    <row r="97" spans="1:5" ht="13.5" thickBot="1" x14ac:dyDescent="0.2">
      <c r="A97" s="499" t="s">
        <v>1237</v>
      </c>
      <c r="B97" s="506" t="s">
        <v>937</v>
      </c>
      <c r="C97" s="506" t="s">
        <v>1238</v>
      </c>
      <c r="D97" s="506" t="s">
        <v>937</v>
      </c>
      <c r="E97" s="500" t="s">
        <v>922</v>
      </c>
    </row>
    <row r="98" spans="1:5" ht="13.5" thickBot="1" x14ac:dyDescent="0.2">
      <c r="A98" s="499" t="s">
        <v>1239</v>
      </c>
      <c r="B98" s="506" t="s">
        <v>937</v>
      </c>
      <c r="C98" s="506" t="s">
        <v>1230</v>
      </c>
      <c r="D98" s="506" t="s">
        <v>937</v>
      </c>
      <c r="E98" s="500" t="s">
        <v>922</v>
      </c>
    </row>
    <row r="99" spans="1:5" ht="13.5" thickBot="1" x14ac:dyDescent="0.2">
      <c r="A99" s="499" t="s">
        <v>1240</v>
      </c>
      <c r="B99" s="506" t="s">
        <v>937</v>
      </c>
      <c r="C99" s="506" t="s">
        <v>1092</v>
      </c>
      <c r="D99" s="506" t="s">
        <v>937</v>
      </c>
      <c r="E99" s="500" t="s">
        <v>927</v>
      </c>
    </row>
    <row r="100" spans="1:5" ht="25.5" thickBot="1" x14ac:dyDescent="0.2">
      <c r="A100" s="499" t="s">
        <v>1241</v>
      </c>
      <c r="B100" s="506" t="s">
        <v>937</v>
      </c>
      <c r="C100" s="506" t="s">
        <v>953</v>
      </c>
      <c r="D100" s="506" t="s">
        <v>937</v>
      </c>
      <c r="E100" s="500" t="s">
        <v>927</v>
      </c>
    </row>
    <row r="101" spans="1:5" ht="25.5" thickBot="1" x14ac:dyDescent="0.2">
      <c r="A101" s="499" t="s">
        <v>1242</v>
      </c>
      <c r="B101" s="506" t="s">
        <v>937</v>
      </c>
      <c r="C101" s="506" t="s">
        <v>1100</v>
      </c>
      <c r="D101" s="506" t="s">
        <v>937</v>
      </c>
      <c r="E101" s="500" t="s">
        <v>927</v>
      </c>
    </row>
    <row r="102" spans="1:5" ht="25.5" thickBot="1" x14ac:dyDescent="0.2">
      <c r="A102" s="499" t="s">
        <v>1243</v>
      </c>
      <c r="B102" s="506" t="s">
        <v>937</v>
      </c>
      <c r="C102" s="506" t="s">
        <v>1089</v>
      </c>
      <c r="D102" s="506" t="s">
        <v>937</v>
      </c>
      <c r="E102" s="500" t="s">
        <v>927</v>
      </c>
    </row>
    <row r="103" spans="1:5" ht="25.5" thickBot="1" x14ac:dyDescent="0.2">
      <c r="A103" s="499" t="s">
        <v>1244</v>
      </c>
      <c r="B103" s="506" t="s">
        <v>937</v>
      </c>
      <c r="C103" s="506" t="s">
        <v>933</v>
      </c>
      <c r="D103" s="506" t="s">
        <v>937</v>
      </c>
      <c r="E103" s="500" t="s">
        <v>927</v>
      </c>
    </row>
    <row r="104" spans="1:5" ht="25.5" thickBot="1" x14ac:dyDescent="0.2">
      <c r="A104" s="499" t="s">
        <v>1245</v>
      </c>
      <c r="B104" s="506" t="s">
        <v>937</v>
      </c>
      <c r="C104" s="506" t="s">
        <v>963</v>
      </c>
      <c r="D104" s="506" t="s">
        <v>1246</v>
      </c>
      <c r="E104" s="500" t="s">
        <v>927</v>
      </c>
    </row>
    <row r="105" spans="1:5" ht="25.5" thickBot="1" x14ac:dyDescent="0.2">
      <c r="A105" s="499" t="s">
        <v>1247</v>
      </c>
      <c r="B105" s="506" t="s">
        <v>937</v>
      </c>
      <c r="C105" s="506" t="s">
        <v>1248</v>
      </c>
      <c r="D105" s="506" t="s">
        <v>968</v>
      </c>
      <c r="E105" s="500" t="s">
        <v>927</v>
      </c>
    </row>
    <row r="106" spans="1:5" ht="25.5" thickBot="1" x14ac:dyDescent="0.2">
      <c r="A106" s="499" t="s">
        <v>1249</v>
      </c>
      <c r="B106" s="506" t="s">
        <v>937</v>
      </c>
      <c r="C106" s="506" t="s">
        <v>1250</v>
      </c>
      <c r="D106" s="506" t="s">
        <v>963</v>
      </c>
      <c r="E106" s="500" t="s">
        <v>927</v>
      </c>
    </row>
    <row r="107" spans="1:5" ht="25.5" thickBot="1" x14ac:dyDescent="0.2">
      <c r="A107" s="499" t="s">
        <v>1251</v>
      </c>
      <c r="B107" s="506" t="s">
        <v>937</v>
      </c>
      <c r="C107" s="506" t="s">
        <v>1101</v>
      </c>
      <c r="D107" s="506" t="s">
        <v>965</v>
      </c>
      <c r="E107" s="500" t="s">
        <v>927</v>
      </c>
    </row>
    <row r="108" spans="1:5" ht="25.5" thickBot="1" x14ac:dyDescent="0.2">
      <c r="A108" s="499" t="s">
        <v>1252</v>
      </c>
      <c r="B108" s="506" t="s">
        <v>937</v>
      </c>
      <c r="C108" s="506" t="s">
        <v>1253</v>
      </c>
      <c r="D108" s="506" t="s">
        <v>1254</v>
      </c>
      <c r="E108" s="500" t="s">
        <v>927</v>
      </c>
    </row>
    <row r="109" spans="1:5" ht="25.5" thickBot="1" x14ac:dyDescent="0.2">
      <c r="A109" s="499" t="s">
        <v>1255</v>
      </c>
      <c r="B109" s="506" t="s">
        <v>937</v>
      </c>
      <c r="C109" s="506" t="s">
        <v>1256</v>
      </c>
      <c r="D109" s="506" t="s">
        <v>966</v>
      </c>
      <c r="E109" s="500" t="s">
        <v>927</v>
      </c>
    </row>
    <row r="110" spans="1:5" ht="25.5" thickBot="1" x14ac:dyDescent="0.2">
      <c r="A110" s="499" t="s">
        <v>1257</v>
      </c>
      <c r="B110" s="506" t="s">
        <v>937</v>
      </c>
      <c r="C110" s="506" t="s">
        <v>1258</v>
      </c>
      <c r="D110" s="506" t="s">
        <v>963</v>
      </c>
      <c r="E110" s="500" t="s">
        <v>927</v>
      </c>
    </row>
    <row r="111" spans="1:5" ht="25.5" thickBot="1" x14ac:dyDescent="0.2">
      <c r="A111" s="509" t="s">
        <v>1259</v>
      </c>
      <c r="B111" s="510" t="s">
        <v>937</v>
      </c>
      <c r="C111" s="510" t="s">
        <v>933</v>
      </c>
      <c r="D111" s="510" t="s">
        <v>919</v>
      </c>
      <c r="E111" s="511" t="s">
        <v>927</v>
      </c>
    </row>
    <row r="113" spans="1:5" ht="51.75" x14ac:dyDescent="0.35">
      <c r="A113" s="479" t="s">
        <v>1260</v>
      </c>
    </row>
    <row r="114" spans="1:5" ht="15" thickBot="1" x14ac:dyDescent="0.2">
      <c r="A114" s="480"/>
    </row>
    <row r="115" spans="1:5" ht="15.75" thickBot="1" x14ac:dyDescent="0.25">
      <c r="A115" s="496" t="s">
        <v>913</v>
      </c>
      <c r="B115" s="497" t="s">
        <v>914</v>
      </c>
      <c r="C115" s="497" t="s">
        <v>915</v>
      </c>
      <c r="D115" s="497" t="s">
        <v>916</v>
      </c>
      <c r="E115" s="498" t="s">
        <v>917</v>
      </c>
    </row>
    <row r="116" spans="1:5" ht="25.5" thickBot="1" x14ac:dyDescent="0.2">
      <c r="A116" s="499" t="s">
        <v>1261</v>
      </c>
      <c r="B116" s="485" t="s">
        <v>937</v>
      </c>
      <c r="C116" s="485" t="s">
        <v>952</v>
      </c>
      <c r="D116" s="485" t="s">
        <v>937</v>
      </c>
      <c r="E116" s="500" t="s">
        <v>1262</v>
      </c>
    </row>
    <row r="117" spans="1:5" ht="25.5" thickBot="1" x14ac:dyDescent="0.2">
      <c r="A117" s="499" t="s">
        <v>1263</v>
      </c>
      <c r="B117" s="485" t="s">
        <v>937</v>
      </c>
      <c r="C117" s="485" t="s">
        <v>1094</v>
      </c>
      <c r="D117" s="485" t="s">
        <v>937</v>
      </c>
      <c r="E117" s="500" t="s">
        <v>1262</v>
      </c>
    </row>
    <row r="118" spans="1:5" ht="25.5" thickBot="1" x14ac:dyDescent="0.2">
      <c r="A118" s="499" t="s">
        <v>1264</v>
      </c>
      <c r="B118" s="485" t="s">
        <v>937</v>
      </c>
      <c r="C118" s="485" t="s">
        <v>1265</v>
      </c>
      <c r="D118" s="485" t="s">
        <v>937</v>
      </c>
      <c r="E118" s="500" t="s">
        <v>1262</v>
      </c>
    </row>
    <row r="119" spans="1:5" ht="25.5" thickBot="1" x14ac:dyDescent="0.2">
      <c r="A119" s="499" t="s">
        <v>1266</v>
      </c>
      <c r="B119" s="485" t="s">
        <v>937</v>
      </c>
      <c r="C119" s="485" t="s">
        <v>1151</v>
      </c>
      <c r="D119" s="485" t="s">
        <v>937</v>
      </c>
      <c r="E119" s="500" t="s">
        <v>1267</v>
      </c>
    </row>
    <row r="120" spans="1:5" ht="25.5" thickBot="1" x14ac:dyDescent="0.2">
      <c r="A120" s="509" t="s">
        <v>1268</v>
      </c>
      <c r="B120" s="512" t="s">
        <v>937</v>
      </c>
      <c r="C120" s="512" t="s">
        <v>925</v>
      </c>
      <c r="D120" s="512" t="s">
        <v>937</v>
      </c>
      <c r="E120" s="511" t="s">
        <v>1267</v>
      </c>
    </row>
    <row r="123" spans="1:5" ht="51.75" x14ac:dyDescent="0.35">
      <c r="A123" s="479" t="s">
        <v>1269</v>
      </c>
    </row>
    <row r="124" spans="1:5" ht="15" thickBot="1" x14ac:dyDescent="0.2">
      <c r="A124" s="480"/>
    </row>
    <row r="125" spans="1:5" ht="15.75" thickBot="1" x14ac:dyDescent="0.25">
      <c r="A125" s="470" t="s">
        <v>913</v>
      </c>
      <c r="B125" s="507" t="s">
        <v>914</v>
      </c>
      <c r="C125" s="507" t="s">
        <v>915</v>
      </c>
      <c r="D125" s="507" t="s">
        <v>916</v>
      </c>
      <c r="E125" s="508" t="s">
        <v>917</v>
      </c>
    </row>
    <row r="126" spans="1:5" ht="13.5" thickBot="1" x14ac:dyDescent="0.2">
      <c r="A126" s="499" t="s">
        <v>1270</v>
      </c>
      <c r="B126" s="506" t="s">
        <v>937</v>
      </c>
      <c r="C126" s="506" t="s">
        <v>951</v>
      </c>
      <c r="D126" s="506" t="s">
        <v>956</v>
      </c>
      <c r="E126" s="500" t="s">
        <v>927</v>
      </c>
    </row>
    <row r="127" spans="1:5" ht="13.5" thickBot="1" x14ac:dyDescent="0.2">
      <c r="A127" s="499" t="s">
        <v>1271</v>
      </c>
      <c r="B127" s="506" t="s">
        <v>937</v>
      </c>
      <c r="C127" s="506" t="s">
        <v>982</v>
      </c>
      <c r="D127" s="506" t="s">
        <v>937</v>
      </c>
      <c r="E127" s="500" t="s">
        <v>927</v>
      </c>
    </row>
    <row r="128" spans="1:5" ht="13.5" thickBot="1" x14ac:dyDescent="0.2">
      <c r="A128" s="509" t="s">
        <v>1272</v>
      </c>
      <c r="B128" s="510" t="s">
        <v>937</v>
      </c>
      <c r="C128" s="510" t="s">
        <v>1091</v>
      </c>
      <c r="D128" s="510" t="s">
        <v>937</v>
      </c>
      <c r="E128" s="511" t="s">
        <v>927</v>
      </c>
    </row>
    <row r="130" spans="1:5" ht="26.25" x14ac:dyDescent="0.15">
      <c r="A130" s="486" t="s">
        <v>1273</v>
      </c>
    </row>
    <row r="131" spans="1:5" ht="13.5" thickBot="1" x14ac:dyDescent="0.2">
      <c r="A131" s="487"/>
    </row>
    <row r="132" spans="1:5" ht="28.5" thickBot="1" x14ac:dyDescent="0.25">
      <c r="A132" s="496" t="s">
        <v>742</v>
      </c>
      <c r="B132" s="497" t="s">
        <v>741</v>
      </c>
      <c r="C132" s="497" t="s">
        <v>882</v>
      </c>
      <c r="D132" s="497" t="s">
        <v>883</v>
      </c>
      <c r="E132" s="498" t="s">
        <v>884</v>
      </c>
    </row>
    <row r="133" spans="1:5" ht="13.5" thickBot="1" x14ac:dyDescent="0.2">
      <c r="A133" s="499" t="s">
        <v>1273</v>
      </c>
      <c r="B133" s="485"/>
      <c r="C133" s="485"/>
      <c r="D133" s="485"/>
      <c r="E133" s="500"/>
    </row>
    <row r="134" spans="1:5" ht="13.5" thickBot="1" x14ac:dyDescent="0.2">
      <c r="A134" s="499"/>
      <c r="B134" s="485" t="s">
        <v>1274</v>
      </c>
      <c r="C134" s="485" t="s">
        <v>1275</v>
      </c>
      <c r="D134" s="485">
        <v>0.8</v>
      </c>
      <c r="E134" s="500"/>
    </row>
    <row r="135" spans="1:5" ht="13.5" thickBot="1" x14ac:dyDescent="0.2">
      <c r="A135" s="499"/>
      <c r="B135" s="485" t="s">
        <v>1276</v>
      </c>
      <c r="C135" s="485" t="s">
        <v>658</v>
      </c>
      <c r="D135" s="485">
        <v>1.2</v>
      </c>
      <c r="E135" s="500"/>
    </row>
    <row r="136" spans="1:5" ht="13.5" thickBot="1" x14ac:dyDescent="0.2">
      <c r="A136" s="501"/>
      <c r="B136" s="502" t="s">
        <v>1277</v>
      </c>
      <c r="C136" s="502" t="s">
        <v>658</v>
      </c>
      <c r="D136" s="502">
        <v>1.6</v>
      </c>
      <c r="E136" s="503"/>
    </row>
    <row r="138" spans="1:5" ht="26.25" x14ac:dyDescent="0.15">
      <c r="A138" s="486" t="s">
        <v>1278</v>
      </c>
    </row>
    <row r="139" spans="1:5" ht="13.5" thickBot="1" x14ac:dyDescent="0.2">
      <c r="A139" s="487"/>
    </row>
    <row r="140" spans="1:5" ht="28.5" thickBot="1" x14ac:dyDescent="0.25">
      <c r="A140" s="481" t="s">
        <v>742</v>
      </c>
      <c r="B140" s="481" t="s">
        <v>741</v>
      </c>
      <c r="C140" s="481" t="s">
        <v>882</v>
      </c>
      <c r="D140" s="481" t="s">
        <v>883</v>
      </c>
      <c r="E140" s="481" t="s">
        <v>884</v>
      </c>
    </row>
    <row r="141" spans="1:5" ht="13.5" thickBot="1" x14ac:dyDescent="0.2">
      <c r="A141" s="482" t="s">
        <v>1278</v>
      </c>
      <c r="B141" s="483"/>
      <c r="C141" s="483"/>
      <c r="D141" s="484"/>
      <c r="E141" s="485"/>
    </row>
    <row r="142" spans="1:5" ht="25.5" thickBot="1" x14ac:dyDescent="0.2">
      <c r="A142" s="482"/>
      <c r="B142" s="483" t="s">
        <v>1279</v>
      </c>
      <c r="C142" s="483" t="s">
        <v>658</v>
      </c>
      <c r="D142" s="484">
        <v>0.1</v>
      </c>
      <c r="E142" s="485"/>
    </row>
    <row r="143" spans="1:5" ht="37.5" thickBot="1" x14ac:dyDescent="0.2">
      <c r="A143" s="482"/>
      <c r="B143" s="483" t="s">
        <v>1280</v>
      </c>
      <c r="C143" s="483" t="s">
        <v>658</v>
      </c>
      <c r="D143" s="484">
        <v>0.13</v>
      </c>
      <c r="E143" s="485"/>
    </row>
    <row r="144" spans="1:5" ht="25.5" thickBot="1" x14ac:dyDescent="0.2">
      <c r="A144" s="482"/>
      <c r="B144" s="483" t="s">
        <v>1281</v>
      </c>
      <c r="C144" s="483" t="s">
        <v>658</v>
      </c>
      <c r="D144" s="484">
        <v>0.05</v>
      </c>
      <c r="E144" s="485"/>
    </row>
    <row r="145" spans="1:4" ht="25.5" thickBot="1" x14ac:dyDescent="0.2">
      <c r="A145" s="489"/>
      <c r="B145" s="490" t="s">
        <v>1282</v>
      </c>
      <c r="C145" s="490" t="s">
        <v>658</v>
      </c>
      <c r="D145" s="491">
        <v>0.13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election activeCell="M21" sqref="M21"/>
    </sheetView>
  </sheetViews>
  <sheetFormatPr defaultRowHeight="12.75" x14ac:dyDescent="0.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RowHeight="12.75" x14ac:dyDescent="0.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selection activeCell="B1" sqref="B1"/>
    </sheetView>
  </sheetViews>
  <sheetFormatPr defaultRowHeight="12.75" x14ac:dyDescent="0.15"/>
  <cols>
    <col min="1" max="1" width="28.5859375" customWidth="1"/>
    <col min="2" max="2" width="25.484375" customWidth="1"/>
    <col min="4" max="4" width="14.15625" customWidth="1"/>
  </cols>
  <sheetData>
    <row r="1" spans="1:5" ht="25.5" x14ac:dyDescent="0.3">
      <c r="A1" s="514" t="s">
        <v>1294</v>
      </c>
    </row>
    <row r="2" spans="1:5" x14ac:dyDescent="0.15">
      <c r="A2" s="513"/>
    </row>
    <row r="3" spans="1:5" ht="15" thickBot="1" x14ac:dyDescent="0.2">
      <c r="A3" s="515" t="s">
        <v>1283</v>
      </c>
    </row>
    <row r="4" spans="1:5" ht="28.5" thickBot="1" x14ac:dyDescent="0.25">
      <c r="A4" s="481" t="s">
        <v>742</v>
      </c>
      <c r="B4" s="481" t="s">
        <v>741</v>
      </c>
      <c r="C4" s="481" t="s">
        <v>882</v>
      </c>
      <c r="D4" s="481" t="s">
        <v>883</v>
      </c>
      <c r="E4" s="481" t="s">
        <v>884</v>
      </c>
    </row>
    <row r="5" spans="1:5" ht="13.5" thickBot="1" x14ac:dyDescent="0.2">
      <c r="A5" s="482" t="s">
        <v>1283</v>
      </c>
      <c r="B5" s="483"/>
      <c r="C5" s="483"/>
      <c r="D5" s="484"/>
      <c r="E5" s="485"/>
    </row>
    <row r="6" spans="1:5" ht="25.5" thickBot="1" x14ac:dyDescent="0.2">
      <c r="A6" s="482"/>
      <c r="B6" s="483" t="s">
        <v>1284</v>
      </c>
      <c r="C6" s="483" t="s">
        <v>1285</v>
      </c>
      <c r="D6" s="484">
        <v>8</v>
      </c>
      <c r="E6" s="485"/>
    </row>
    <row r="7" spans="1:5" ht="13.5" thickBot="1" x14ac:dyDescent="0.2">
      <c r="A7" s="482"/>
      <c r="B7" s="483" t="s">
        <v>1286</v>
      </c>
      <c r="C7" s="483"/>
      <c r="D7" s="483"/>
      <c r="E7" s="485"/>
    </row>
    <row r="8" spans="1:5" ht="25.5" thickBot="1" x14ac:dyDescent="0.2">
      <c r="A8" s="482"/>
      <c r="B8" s="483" t="s">
        <v>1287</v>
      </c>
      <c r="C8" s="483" t="s">
        <v>78</v>
      </c>
      <c r="D8" s="484">
        <v>0.45</v>
      </c>
      <c r="E8" s="485"/>
    </row>
    <row r="9" spans="1:5" ht="13.5" thickBot="1" x14ac:dyDescent="0.2">
      <c r="A9" s="482"/>
      <c r="B9" s="483" t="s">
        <v>1288</v>
      </c>
      <c r="C9" s="483"/>
      <c r="D9" s="483"/>
      <c r="E9" s="485"/>
    </row>
    <row r="10" spans="1:5" x14ac:dyDescent="0.15">
      <c r="A10" s="513"/>
    </row>
    <row r="11" spans="1:5" x14ac:dyDescent="0.15">
      <c r="A11" s="487"/>
    </row>
    <row r="12" spans="1:5" ht="14.25" x14ac:dyDescent="0.15">
      <c r="A12" s="515" t="s">
        <v>1289</v>
      </c>
    </row>
    <row r="13" spans="1:5" ht="13.5" thickBot="1" x14ac:dyDescent="0.2">
      <c r="A13" s="488"/>
    </row>
    <row r="14" spans="1:5" ht="28.5" thickBot="1" x14ac:dyDescent="0.25">
      <c r="A14" s="481" t="s">
        <v>742</v>
      </c>
      <c r="B14" s="481" t="s">
        <v>741</v>
      </c>
      <c r="C14" s="481" t="s">
        <v>1290</v>
      </c>
      <c r="D14" s="463" t="s">
        <v>883</v>
      </c>
      <c r="E14" s="463" t="s">
        <v>884</v>
      </c>
    </row>
    <row r="15" spans="1:5" ht="13.5" thickBot="1" x14ac:dyDescent="0.2">
      <c r="A15" s="482" t="s">
        <v>1289</v>
      </c>
      <c r="B15" s="483"/>
      <c r="C15" s="483"/>
      <c r="D15" s="483"/>
      <c r="E15" s="485"/>
    </row>
    <row r="16" spans="1:5" ht="13.5" thickBot="1" x14ac:dyDescent="0.2">
      <c r="A16" s="482"/>
      <c r="B16" s="483" t="s">
        <v>1291</v>
      </c>
      <c r="C16" s="483"/>
      <c r="D16" s="483"/>
      <c r="E16" s="485"/>
    </row>
    <row r="17" spans="1:5" ht="25.5" thickBot="1" x14ac:dyDescent="0.2">
      <c r="A17" s="482"/>
      <c r="B17" s="483" t="s">
        <v>1292</v>
      </c>
      <c r="C17" s="483" t="s">
        <v>78</v>
      </c>
      <c r="D17" s="484">
        <v>6</v>
      </c>
      <c r="E17" s="485"/>
    </row>
    <row r="18" spans="1:5" ht="25.5" thickBot="1" x14ac:dyDescent="0.2">
      <c r="A18" s="489"/>
      <c r="B18" s="490" t="s">
        <v>1293</v>
      </c>
      <c r="C18" s="490" t="s">
        <v>78</v>
      </c>
      <c r="D18" s="491">
        <v>0.17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E154"/>
  <sheetViews>
    <sheetView topLeftCell="A143" workbookViewId="0">
      <selection activeCell="A151" sqref="A151"/>
    </sheetView>
  </sheetViews>
  <sheetFormatPr defaultRowHeight="12.75" x14ac:dyDescent="0.15"/>
  <cols>
    <col min="1" max="1" width="31.1484375" customWidth="1"/>
    <col min="2" max="2" width="20.6328125" customWidth="1"/>
    <col min="3" max="3" width="14.6953125" customWidth="1"/>
    <col min="4" max="4" width="14.0234375" customWidth="1"/>
    <col min="5" max="5" width="12" customWidth="1"/>
  </cols>
  <sheetData>
    <row r="2" spans="1:5" ht="77.25" x14ac:dyDescent="0.35">
      <c r="A2" s="479" t="s">
        <v>1321</v>
      </c>
    </row>
    <row r="3" spans="1:5" ht="15" thickBot="1" x14ac:dyDescent="0.2">
      <c r="A3" s="480"/>
    </row>
    <row r="4" spans="1:5" ht="28.5" thickBot="1" x14ac:dyDescent="0.25">
      <c r="A4" s="481" t="s">
        <v>742</v>
      </c>
      <c r="B4" s="481" t="s">
        <v>1295</v>
      </c>
      <c r="C4" s="481" t="s">
        <v>882</v>
      </c>
      <c r="D4" s="481" t="s">
        <v>883</v>
      </c>
      <c r="E4" s="481" t="s">
        <v>884</v>
      </c>
    </row>
    <row r="5" spans="1:5" ht="13.5" thickBot="1" x14ac:dyDescent="0.2">
      <c r="A5" s="482" t="s">
        <v>1296</v>
      </c>
      <c r="B5" s="483"/>
      <c r="C5" s="483"/>
      <c r="D5" s="483"/>
      <c r="E5" s="485"/>
    </row>
    <row r="6" spans="1:5" ht="25.5" thickBot="1" x14ac:dyDescent="0.2">
      <c r="A6" s="482"/>
      <c r="B6" s="483" t="s">
        <v>1297</v>
      </c>
      <c r="C6" s="483"/>
      <c r="D6" s="483"/>
      <c r="E6" s="485"/>
    </row>
    <row r="7" spans="1:5" ht="13.5" thickBot="1" x14ac:dyDescent="0.2">
      <c r="A7" s="482"/>
      <c r="B7" s="483" t="s">
        <v>1298</v>
      </c>
      <c r="C7" s="483" t="s">
        <v>78</v>
      </c>
      <c r="D7" s="484">
        <v>0.45</v>
      </c>
      <c r="E7" s="485"/>
    </row>
    <row r="8" spans="1:5" ht="13.5" thickBot="1" x14ac:dyDescent="0.2">
      <c r="A8" s="482"/>
      <c r="B8" s="483" t="s">
        <v>1299</v>
      </c>
      <c r="C8" s="483" t="s">
        <v>78</v>
      </c>
      <c r="D8" s="484">
        <v>0.55000000000000004</v>
      </c>
      <c r="E8" s="485"/>
    </row>
    <row r="9" spans="1:5" ht="37.5" thickBot="1" x14ac:dyDescent="0.2">
      <c r="A9" s="482"/>
      <c r="B9" s="483" t="s">
        <v>1300</v>
      </c>
      <c r="C9" s="483"/>
      <c r="D9" s="483"/>
      <c r="E9" s="485"/>
    </row>
    <row r="10" spans="1:5" ht="13.5" thickBot="1" x14ac:dyDescent="0.2">
      <c r="A10" s="482"/>
      <c r="B10" s="483" t="s">
        <v>1301</v>
      </c>
      <c r="C10" s="483" t="s">
        <v>78</v>
      </c>
      <c r="D10" s="484">
        <v>0.3</v>
      </c>
      <c r="E10" s="485"/>
    </row>
    <row r="11" spans="1:5" ht="13.5" thickBot="1" x14ac:dyDescent="0.2">
      <c r="A11" s="482"/>
      <c r="B11" s="483" t="s">
        <v>1302</v>
      </c>
      <c r="C11" s="483" t="s">
        <v>78</v>
      </c>
      <c r="D11" s="484">
        <v>0.25</v>
      </c>
      <c r="E11" s="485"/>
    </row>
    <row r="12" spans="1:5" ht="13.5" thickBot="1" x14ac:dyDescent="0.2">
      <c r="A12" s="482"/>
      <c r="B12" s="483" t="s">
        <v>1303</v>
      </c>
      <c r="C12" s="483" t="s">
        <v>658</v>
      </c>
      <c r="D12" s="484">
        <v>0.1</v>
      </c>
      <c r="E12" s="485"/>
    </row>
    <row r="13" spans="1:5" ht="37.5" thickBot="1" x14ac:dyDescent="0.2">
      <c r="A13" s="482"/>
      <c r="B13" s="483" t="s">
        <v>1322</v>
      </c>
      <c r="C13" s="483"/>
      <c r="D13" s="483"/>
      <c r="E13" s="485"/>
    </row>
    <row r="14" spans="1:5" ht="25.5" thickBot="1" x14ac:dyDescent="0.2">
      <c r="A14" s="482"/>
      <c r="B14" s="483" t="s">
        <v>1305</v>
      </c>
      <c r="C14" s="483" t="s">
        <v>78</v>
      </c>
      <c r="D14" s="484">
        <v>0.35</v>
      </c>
      <c r="E14" s="485"/>
    </row>
    <row r="15" spans="1:5" ht="13.5" thickBot="1" x14ac:dyDescent="0.2">
      <c r="A15" s="482"/>
      <c r="B15" s="483" t="s">
        <v>1306</v>
      </c>
      <c r="C15" s="483" t="s">
        <v>78</v>
      </c>
      <c r="D15" s="484">
        <v>0.3</v>
      </c>
      <c r="E15" s="485"/>
    </row>
    <row r="16" spans="1:5" ht="37.5" thickBot="1" x14ac:dyDescent="0.2">
      <c r="A16" s="482"/>
      <c r="B16" s="483" t="s">
        <v>1307</v>
      </c>
      <c r="C16" s="483"/>
      <c r="D16" s="483"/>
      <c r="E16" s="485"/>
    </row>
    <row r="17" spans="1:5" ht="25.5" thickBot="1" x14ac:dyDescent="0.2">
      <c r="A17" s="482"/>
      <c r="B17" s="483" t="s">
        <v>1308</v>
      </c>
      <c r="C17" s="483"/>
      <c r="D17" s="483"/>
      <c r="E17" s="485"/>
    </row>
    <row r="18" spans="1:5" ht="13.5" thickBot="1" x14ac:dyDescent="0.2">
      <c r="A18" s="482"/>
      <c r="B18" s="483" t="s">
        <v>1309</v>
      </c>
      <c r="C18" s="483" t="s">
        <v>78</v>
      </c>
      <c r="D18" s="484">
        <v>0.6</v>
      </c>
      <c r="E18" s="485"/>
    </row>
    <row r="19" spans="1:5" ht="13.5" thickBot="1" x14ac:dyDescent="0.2">
      <c r="A19" s="482"/>
      <c r="B19" s="483" t="s">
        <v>1310</v>
      </c>
      <c r="C19" s="483" t="s">
        <v>78</v>
      </c>
      <c r="D19" s="484">
        <v>0.7</v>
      </c>
      <c r="E19" s="485"/>
    </row>
    <row r="20" spans="1:5" ht="15" thickBot="1" x14ac:dyDescent="0.2">
      <c r="A20" s="468"/>
    </row>
    <row r="21" spans="1:5" ht="15.75" thickBot="1" x14ac:dyDescent="0.25">
      <c r="A21" s="470" t="s">
        <v>913</v>
      </c>
      <c r="B21" s="507" t="s">
        <v>914</v>
      </c>
      <c r="C21" s="507" t="s">
        <v>915</v>
      </c>
      <c r="D21" s="507" t="s">
        <v>916</v>
      </c>
      <c r="E21" s="508" t="s">
        <v>917</v>
      </c>
    </row>
    <row r="22" spans="1:5" ht="13.5" thickBot="1" x14ac:dyDescent="0.2">
      <c r="A22" s="499" t="s">
        <v>1311</v>
      </c>
      <c r="B22" s="485" t="s">
        <v>937</v>
      </c>
      <c r="C22" s="506" t="s">
        <v>1097</v>
      </c>
      <c r="D22" s="506" t="s">
        <v>937</v>
      </c>
      <c r="E22" s="500" t="s">
        <v>922</v>
      </c>
    </row>
    <row r="23" spans="1:5" ht="13.5" thickBot="1" x14ac:dyDescent="0.2">
      <c r="A23" s="499" t="s">
        <v>1312</v>
      </c>
      <c r="B23" s="506" t="s">
        <v>937</v>
      </c>
      <c r="C23" s="506" t="s">
        <v>1313</v>
      </c>
      <c r="D23" s="506" t="s">
        <v>937</v>
      </c>
      <c r="E23" s="500" t="s">
        <v>922</v>
      </c>
    </row>
    <row r="24" spans="1:5" ht="13.5" thickBot="1" x14ac:dyDescent="0.2">
      <c r="A24" s="499" t="s">
        <v>1314</v>
      </c>
      <c r="B24" s="506" t="s">
        <v>937</v>
      </c>
      <c r="C24" s="506" t="s">
        <v>1313</v>
      </c>
      <c r="D24" s="506" t="s">
        <v>937</v>
      </c>
      <c r="E24" s="500" t="s">
        <v>978</v>
      </c>
    </row>
    <row r="25" spans="1:5" ht="13.5" thickBot="1" x14ac:dyDescent="0.2">
      <c r="A25" s="499" t="s">
        <v>1315</v>
      </c>
      <c r="B25" s="506" t="s">
        <v>937</v>
      </c>
      <c r="C25" s="506" t="s">
        <v>931</v>
      </c>
      <c r="D25" s="506" t="s">
        <v>937</v>
      </c>
      <c r="E25" s="500" t="s">
        <v>922</v>
      </c>
    </row>
    <row r="26" spans="1:5" ht="13.5" thickBot="1" x14ac:dyDescent="0.2">
      <c r="A26" s="499" t="s">
        <v>1316</v>
      </c>
      <c r="B26" s="506" t="s">
        <v>937</v>
      </c>
      <c r="C26" s="506" t="s">
        <v>926</v>
      </c>
      <c r="D26" s="506" t="s">
        <v>937</v>
      </c>
      <c r="E26" s="500" t="s">
        <v>922</v>
      </c>
    </row>
    <row r="27" spans="1:5" ht="13.5" thickBot="1" x14ac:dyDescent="0.2">
      <c r="A27" s="499" t="s">
        <v>1317</v>
      </c>
      <c r="B27" s="506" t="s">
        <v>937</v>
      </c>
      <c r="C27" s="506" t="s">
        <v>959</v>
      </c>
      <c r="D27" s="506" t="s">
        <v>937</v>
      </c>
      <c r="E27" s="500" t="s">
        <v>978</v>
      </c>
    </row>
    <row r="28" spans="1:5" ht="13.5" thickBot="1" x14ac:dyDescent="0.2">
      <c r="A28" s="499" t="s">
        <v>1318</v>
      </c>
      <c r="B28" s="506" t="s">
        <v>937</v>
      </c>
      <c r="C28" s="506" t="s">
        <v>926</v>
      </c>
      <c r="D28" s="506" t="s">
        <v>937</v>
      </c>
      <c r="E28" s="500" t="s">
        <v>922</v>
      </c>
    </row>
    <row r="29" spans="1:5" ht="13.5" thickBot="1" x14ac:dyDescent="0.2">
      <c r="A29" s="499" t="s">
        <v>1319</v>
      </c>
      <c r="B29" s="506" t="s">
        <v>937</v>
      </c>
      <c r="C29" s="506" t="s">
        <v>960</v>
      </c>
      <c r="D29" s="506" t="s">
        <v>937</v>
      </c>
      <c r="E29" s="500" t="s">
        <v>922</v>
      </c>
    </row>
    <row r="30" spans="1:5" ht="13.5" thickBot="1" x14ac:dyDescent="0.2">
      <c r="A30" s="509" t="s">
        <v>1320</v>
      </c>
      <c r="B30" s="510" t="s">
        <v>937</v>
      </c>
      <c r="C30" s="510" t="s">
        <v>1187</v>
      </c>
      <c r="D30" s="510" t="s">
        <v>937</v>
      </c>
      <c r="E30" s="511" t="s">
        <v>978</v>
      </c>
    </row>
    <row r="32" spans="1:5" ht="26.25" x14ac:dyDescent="0.15">
      <c r="A32" s="479" t="s">
        <v>1323</v>
      </c>
    </row>
    <row r="33" spans="1:5" ht="15" thickBot="1" x14ac:dyDescent="0.2">
      <c r="A33" s="480"/>
    </row>
    <row r="34" spans="1:5" ht="15.75" thickBot="1" x14ac:dyDescent="0.25">
      <c r="A34" s="470" t="s">
        <v>913</v>
      </c>
      <c r="B34" s="507" t="s">
        <v>914</v>
      </c>
      <c r="C34" s="507" t="s">
        <v>915</v>
      </c>
      <c r="D34" s="507" t="s">
        <v>916</v>
      </c>
      <c r="E34" s="508" t="s">
        <v>917</v>
      </c>
    </row>
    <row r="35" spans="1:5" ht="13.5" thickBot="1" x14ac:dyDescent="0.2">
      <c r="A35" s="499" t="s">
        <v>1324</v>
      </c>
      <c r="B35" s="506" t="s">
        <v>937</v>
      </c>
      <c r="C35" s="506" t="s">
        <v>1140</v>
      </c>
      <c r="D35" s="506" t="s">
        <v>937</v>
      </c>
      <c r="E35" s="500" t="s">
        <v>978</v>
      </c>
    </row>
    <row r="36" spans="1:5" ht="13.5" thickBot="1" x14ac:dyDescent="0.2">
      <c r="A36" s="499" t="s">
        <v>1325</v>
      </c>
      <c r="B36" s="506" t="s">
        <v>937</v>
      </c>
      <c r="C36" s="506" t="s">
        <v>1326</v>
      </c>
      <c r="D36" s="506" t="s">
        <v>937</v>
      </c>
      <c r="E36" s="500" t="s">
        <v>922</v>
      </c>
    </row>
    <row r="37" spans="1:5" ht="13.5" thickBot="1" x14ac:dyDescent="0.2">
      <c r="A37" s="499" t="s">
        <v>1327</v>
      </c>
      <c r="B37" s="506" t="s">
        <v>937</v>
      </c>
      <c r="C37" s="506" t="s">
        <v>1091</v>
      </c>
      <c r="D37" s="506" t="s">
        <v>937</v>
      </c>
      <c r="E37" s="500" t="s">
        <v>922</v>
      </c>
    </row>
    <row r="38" spans="1:5" ht="13.5" thickBot="1" x14ac:dyDescent="0.2">
      <c r="A38" s="499" t="s">
        <v>1328</v>
      </c>
      <c r="B38" s="506" t="s">
        <v>937</v>
      </c>
      <c r="C38" s="506" t="s">
        <v>1329</v>
      </c>
      <c r="D38" s="506" t="s">
        <v>937</v>
      </c>
      <c r="E38" s="500" t="s">
        <v>922</v>
      </c>
    </row>
    <row r="39" spans="1:5" ht="25.5" thickBot="1" x14ac:dyDescent="0.2">
      <c r="A39" s="499" t="s">
        <v>1330</v>
      </c>
      <c r="B39" s="506" t="s">
        <v>1175</v>
      </c>
      <c r="C39" s="506" t="s">
        <v>1104</v>
      </c>
      <c r="D39" s="506" t="s">
        <v>1331</v>
      </c>
      <c r="E39" s="500" t="s">
        <v>978</v>
      </c>
    </row>
    <row r="40" spans="1:5" ht="25.5" thickBot="1" x14ac:dyDescent="0.2">
      <c r="A40" s="499" t="s">
        <v>1332</v>
      </c>
      <c r="B40" s="506" t="s">
        <v>1333</v>
      </c>
      <c r="C40" s="506" t="s">
        <v>975</v>
      </c>
      <c r="D40" s="506" t="s">
        <v>1175</v>
      </c>
      <c r="E40" s="500" t="s">
        <v>978</v>
      </c>
    </row>
    <row r="41" spans="1:5" ht="25.5" thickBot="1" x14ac:dyDescent="0.2">
      <c r="A41" s="499" t="s">
        <v>1334</v>
      </c>
      <c r="B41" s="506" t="s">
        <v>1335</v>
      </c>
      <c r="C41" s="506" t="s">
        <v>1336</v>
      </c>
      <c r="D41" s="506" t="s">
        <v>1337</v>
      </c>
      <c r="E41" s="500" t="s">
        <v>978</v>
      </c>
    </row>
    <row r="42" spans="1:5" ht="13.5" thickBot="1" x14ac:dyDescent="0.2">
      <c r="A42" s="499" t="s">
        <v>1338</v>
      </c>
      <c r="B42" s="506" t="s">
        <v>1339</v>
      </c>
      <c r="C42" s="506" t="s">
        <v>1234</v>
      </c>
      <c r="D42" s="506" t="s">
        <v>1331</v>
      </c>
      <c r="E42" s="500" t="s">
        <v>978</v>
      </c>
    </row>
    <row r="43" spans="1:5" ht="13.5" thickBot="1" x14ac:dyDescent="0.2">
      <c r="A43" s="499" t="s">
        <v>1340</v>
      </c>
      <c r="B43" s="506" t="s">
        <v>1341</v>
      </c>
      <c r="C43" s="506" t="s">
        <v>1337</v>
      </c>
      <c r="D43" s="506" t="s">
        <v>975</v>
      </c>
      <c r="E43" s="500" t="s">
        <v>978</v>
      </c>
    </row>
    <row r="44" spans="1:5" ht="13.5" thickBot="1" x14ac:dyDescent="0.2">
      <c r="A44" s="499" t="s">
        <v>1342</v>
      </c>
      <c r="B44" s="506" t="s">
        <v>1256</v>
      </c>
      <c r="C44" s="506" t="s">
        <v>1343</v>
      </c>
      <c r="D44" s="506" t="s">
        <v>966</v>
      </c>
      <c r="E44" s="500" t="s">
        <v>978</v>
      </c>
    </row>
    <row r="45" spans="1:5" ht="13.5" thickBot="1" x14ac:dyDescent="0.2">
      <c r="A45" s="499" t="s">
        <v>1344</v>
      </c>
      <c r="B45" s="506" t="s">
        <v>1345</v>
      </c>
      <c r="C45" s="506" t="s">
        <v>968</v>
      </c>
      <c r="D45" s="506" t="s">
        <v>1256</v>
      </c>
      <c r="E45" s="500" t="s">
        <v>978</v>
      </c>
    </row>
    <row r="46" spans="1:5" ht="13.5" thickBot="1" x14ac:dyDescent="0.2">
      <c r="A46" s="499" t="s">
        <v>1346</v>
      </c>
      <c r="B46" s="506" t="s">
        <v>956</v>
      </c>
      <c r="C46" s="506" t="s">
        <v>1345</v>
      </c>
      <c r="D46" s="506" t="s">
        <v>965</v>
      </c>
      <c r="E46" s="500" t="s">
        <v>978</v>
      </c>
    </row>
    <row r="47" spans="1:5" ht="13.5" thickBot="1" x14ac:dyDescent="0.2">
      <c r="A47" s="499" t="s">
        <v>1347</v>
      </c>
      <c r="B47" s="506" t="s">
        <v>1348</v>
      </c>
      <c r="C47" s="506" t="s">
        <v>1349</v>
      </c>
      <c r="D47" s="506" t="s">
        <v>1167</v>
      </c>
      <c r="E47" s="500" t="s">
        <v>978</v>
      </c>
    </row>
    <row r="48" spans="1:5" ht="13.5" thickBot="1" x14ac:dyDescent="0.2">
      <c r="A48" s="499" t="s">
        <v>1350</v>
      </c>
      <c r="B48" s="506" t="s">
        <v>931</v>
      </c>
      <c r="C48" s="506" t="s">
        <v>1212</v>
      </c>
      <c r="D48" s="506" t="s">
        <v>926</v>
      </c>
      <c r="E48" s="500" t="s">
        <v>978</v>
      </c>
    </row>
    <row r="49" spans="1:5" ht="13.5" thickBot="1" x14ac:dyDescent="0.2">
      <c r="A49" s="499" t="s">
        <v>1351</v>
      </c>
      <c r="B49" s="506" t="s">
        <v>1140</v>
      </c>
      <c r="C49" s="506" t="s">
        <v>930</v>
      </c>
      <c r="D49" s="506" t="s">
        <v>924</v>
      </c>
      <c r="E49" s="500" t="s">
        <v>978</v>
      </c>
    </row>
    <row r="50" spans="1:5" ht="13.5" thickBot="1" x14ac:dyDescent="0.2">
      <c r="A50" s="499" t="s">
        <v>1352</v>
      </c>
      <c r="B50" s="506" t="s">
        <v>1160</v>
      </c>
      <c r="C50" s="506" t="s">
        <v>1216</v>
      </c>
      <c r="D50" s="506" t="s">
        <v>1217</v>
      </c>
      <c r="E50" s="500" t="s">
        <v>978</v>
      </c>
    </row>
    <row r="51" spans="1:5" ht="13.5" thickBot="1" x14ac:dyDescent="0.2">
      <c r="A51" s="499" t="s">
        <v>1353</v>
      </c>
      <c r="B51" s="506" t="s">
        <v>1167</v>
      </c>
      <c r="C51" s="506" t="s">
        <v>1265</v>
      </c>
      <c r="D51" s="506" t="s">
        <v>963</v>
      </c>
      <c r="E51" s="500" t="s">
        <v>978</v>
      </c>
    </row>
    <row r="52" spans="1:5" ht="13.5" thickBot="1" x14ac:dyDescent="0.2">
      <c r="A52" s="499" t="s">
        <v>1354</v>
      </c>
      <c r="B52" s="506" t="s">
        <v>1355</v>
      </c>
      <c r="C52" s="506" t="s">
        <v>1356</v>
      </c>
      <c r="D52" s="506" t="s">
        <v>1250</v>
      </c>
      <c r="E52" s="500" t="s">
        <v>978</v>
      </c>
    </row>
    <row r="53" spans="1:5" ht="25.5" thickBot="1" x14ac:dyDescent="0.2">
      <c r="A53" s="499" t="s">
        <v>1357</v>
      </c>
      <c r="B53" s="506" t="s">
        <v>1358</v>
      </c>
      <c r="C53" s="506" t="s">
        <v>1359</v>
      </c>
      <c r="D53" s="506" t="s">
        <v>1360</v>
      </c>
      <c r="E53" s="500" t="s">
        <v>978</v>
      </c>
    </row>
    <row r="54" spans="1:5" ht="13.5" thickBot="1" x14ac:dyDescent="0.2">
      <c r="A54" s="499" t="s">
        <v>1361</v>
      </c>
      <c r="B54" s="506" t="s">
        <v>1362</v>
      </c>
      <c r="C54" s="506" t="s">
        <v>1363</v>
      </c>
      <c r="D54" s="506" t="s">
        <v>1364</v>
      </c>
      <c r="E54" s="500" t="s">
        <v>978</v>
      </c>
    </row>
    <row r="55" spans="1:5" ht="13.5" thickBot="1" x14ac:dyDescent="0.2">
      <c r="A55" s="499" t="s">
        <v>1365</v>
      </c>
      <c r="B55" s="506" t="s">
        <v>937</v>
      </c>
      <c r="C55" s="506" t="s">
        <v>1366</v>
      </c>
      <c r="D55" s="506" t="s">
        <v>937</v>
      </c>
      <c r="E55" s="500" t="s">
        <v>922</v>
      </c>
    </row>
    <row r="56" spans="1:5" ht="13.5" thickBot="1" x14ac:dyDescent="0.2">
      <c r="A56" s="499" t="s">
        <v>1367</v>
      </c>
      <c r="B56" s="506" t="s">
        <v>937</v>
      </c>
      <c r="C56" s="506" t="s">
        <v>957</v>
      </c>
      <c r="D56" s="506" t="s">
        <v>937</v>
      </c>
      <c r="E56" s="500" t="s">
        <v>922</v>
      </c>
    </row>
    <row r="57" spans="1:5" ht="25.5" thickBot="1" x14ac:dyDescent="0.2">
      <c r="A57" s="499" t="s">
        <v>1368</v>
      </c>
      <c r="B57" s="506" t="s">
        <v>937</v>
      </c>
      <c r="C57" s="506" t="s">
        <v>963</v>
      </c>
      <c r="D57" s="506" t="s">
        <v>937</v>
      </c>
      <c r="E57" s="500" t="s">
        <v>922</v>
      </c>
    </row>
    <row r="58" spans="1:5" ht="25.5" thickBot="1" x14ac:dyDescent="0.2">
      <c r="A58" s="499" t="s">
        <v>1369</v>
      </c>
      <c r="B58" s="506" t="s">
        <v>937</v>
      </c>
      <c r="C58" s="506" t="s">
        <v>1100</v>
      </c>
      <c r="D58" s="506" t="s">
        <v>937</v>
      </c>
      <c r="E58" s="500" t="s">
        <v>922</v>
      </c>
    </row>
    <row r="59" spans="1:5" ht="25.5" thickBot="1" x14ac:dyDescent="0.2">
      <c r="A59" s="499" t="s">
        <v>1370</v>
      </c>
      <c r="B59" s="506" t="s">
        <v>937</v>
      </c>
      <c r="C59" s="506" t="s">
        <v>956</v>
      </c>
      <c r="D59" s="506" t="s">
        <v>937</v>
      </c>
      <c r="E59" s="500" t="s">
        <v>922</v>
      </c>
    </row>
    <row r="60" spans="1:5" ht="25.5" thickBot="1" x14ac:dyDescent="0.2">
      <c r="A60" s="499" t="s">
        <v>1371</v>
      </c>
      <c r="B60" s="506" t="s">
        <v>937</v>
      </c>
      <c r="C60" s="506" t="s">
        <v>1140</v>
      </c>
      <c r="D60" s="506" t="s">
        <v>937</v>
      </c>
      <c r="E60" s="500" t="s">
        <v>922</v>
      </c>
    </row>
    <row r="61" spans="1:5" ht="13.5" thickBot="1" x14ac:dyDescent="0.2">
      <c r="A61" s="499" t="s">
        <v>1372</v>
      </c>
      <c r="B61" s="506" t="s">
        <v>1256</v>
      </c>
      <c r="C61" s="506" t="s">
        <v>1220</v>
      </c>
      <c r="D61" s="506" t="s">
        <v>1258</v>
      </c>
      <c r="E61" s="500" t="s">
        <v>922</v>
      </c>
    </row>
    <row r="62" spans="1:5" ht="13.5" thickBot="1" x14ac:dyDescent="0.2">
      <c r="A62" s="499" t="s">
        <v>1373</v>
      </c>
      <c r="B62" s="506" t="s">
        <v>1140</v>
      </c>
      <c r="C62" s="506" t="s">
        <v>926</v>
      </c>
      <c r="D62" s="506" t="s">
        <v>957</v>
      </c>
      <c r="E62" s="500" t="s">
        <v>922</v>
      </c>
    </row>
    <row r="63" spans="1:5" ht="13.5" thickBot="1" x14ac:dyDescent="0.2">
      <c r="A63" s="499" t="s">
        <v>1374</v>
      </c>
      <c r="B63" s="506" t="s">
        <v>962</v>
      </c>
      <c r="C63" s="506" t="s">
        <v>1375</v>
      </c>
      <c r="D63" s="506" t="s">
        <v>1216</v>
      </c>
      <c r="E63" s="500" t="s">
        <v>922</v>
      </c>
    </row>
    <row r="64" spans="1:5" ht="13.5" thickBot="1" x14ac:dyDescent="0.2">
      <c r="A64" s="499" t="s">
        <v>1376</v>
      </c>
      <c r="B64" s="506" t="s">
        <v>965</v>
      </c>
      <c r="C64" s="506" t="s">
        <v>1377</v>
      </c>
      <c r="D64" s="506" t="s">
        <v>966</v>
      </c>
      <c r="E64" s="500" t="s">
        <v>922</v>
      </c>
    </row>
    <row r="65" spans="1:5" ht="25.5" thickBot="1" x14ac:dyDescent="0.2">
      <c r="A65" s="499" t="s">
        <v>1378</v>
      </c>
      <c r="B65" s="506" t="s">
        <v>1343</v>
      </c>
      <c r="C65" s="506" t="s">
        <v>919</v>
      </c>
      <c r="D65" s="506" t="s">
        <v>1349</v>
      </c>
      <c r="E65" s="500" t="s">
        <v>922</v>
      </c>
    </row>
    <row r="66" spans="1:5" ht="25.5" thickBot="1" x14ac:dyDescent="0.2">
      <c r="A66" s="499" t="s">
        <v>1379</v>
      </c>
      <c r="B66" s="506" t="s">
        <v>937</v>
      </c>
      <c r="C66" s="506" t="s">
        <v>1256</v>
      </c>
      <c r="D66" s="506" t="s">
        <v>937</v>
      </c>
      <c r="E66" s="500" t="s">
        <v>922</v>
      </c>
    </row>
    <row r="67" spans="1:5" ht="13.5" thickBot="1" x14ac:dyDescent="0.2">
      <c r="A67" s="499" t="s">
        <v>1380</v>
      </c>
      <c r="B67" s="506" t="s">
        <v>937</v>
      </c>
      <c r="C67" s="506" t="s">
        <v>1107</v>
      </c>
      <c r="D67" s="506" t="s">
        <v>937</v>
      </c>
      <c r="E67" s="500" t="s">
        <v>922</v>
      </c>
    </row>
    <row r="68" spans="1:5" ht="13.5" thickBot="1" x14ac:dyDescent="0.2">
      <c r="A68" s="509" t="s">
        <v>1381</v>
      </c>
      <c r="B68" s="510" t="s">
        <v>937</v>
      </c>
      <c r="C68" s="510" t="s">
        <v>1382</v>
      </c>
      <c r="D68" s="510" t="s">
        <v>937</v>
      </c>
      <c r="E68" s="511" t="s">
        <v>922</v>
      </c>
    </row>
    <row r="70" spans="1:5" ht="26.25" x14ac:dyDescent="0.15">
      <c r="A70" s="479" t="s">
        <v>1383</v>
      </c>
    </row>
    <row r="71" spans="1:5" ht="15" thickBot="1" x14ac:dyDescent="0.2">
      <c r="A71" s="480"/>
    </row>
    <row r="72" spans="1:5" ht="15.75" thickBot="1" x14ac:dyDescent="0.25">
      <c r="A72" s="470" t="s">
        <v>913</v>
      </c>
      <c r="B72" s="507" t="s">
        <v>914</v>
      </c>
      <c r="C72" s="507" t="s">
        <v>915</v>
      </c>
      <c r="D72" s="507" t="s">
        <v>916</v>
      </c>
      <c r="E72" s="508" t="s">
        <v>917</v>
      </c>
    </row>
    <row r="73" spans="1:5" ht="13.5" thickBot="1" x14ac:dyDescent="0.2">
      <c r="A73" s="499" t="s">
        <v>1384</v>
      </c>
      <c r="B73" s="506" t="s">
        <v>937</v>
      </c>
      <c r="C73" s="506" t="s">
        <v>1385</v>
      </c>
      <c r="D73" s="506" t="s">
        <v>937</v>
      </c>
      <c r="E73" s="500" t="s">
        <v>1386</v>
      </c>
    </row>
    <row r="74" spans="1:5" ht="13.5" thickBot="1" x14ac:dyDescent="0.2">
      <c r="A74" s="499" t="s">
        <v>1387</v>
      </c>
      <c r="B74" s="506" t="s">
        <v>937</v>
      </c>
      <c r="C74" s="506" t="s">
        <v>1156</v>
      </c>
      <c r="D74" s="506" t="s">
        <v>937</v>
      </c>
      <c r="E74" s="500" t="s">
        <v>1386</v>
      </c>
    </row>
    <row r="75" spans="1:5" ht="13.5" thickBot="1" x14ac:dyDescent="0.2">
      <c r="A75" s="499" t="s">
        <v>1388</v>
      </c>
      <c r="B75" s="506" t="s">
        <v>937</v>
      </c>
      <c r="C75" s="506" t="s">
        <v>1389</v>
      </c>
      <c r="D75" s="506" t="s">
        <v>937</v>
      </c>
      <c r="E75" s="500" t="s">
        <v>1386</v>
      </c>
    </row>
    <row r="76" spans="1:5" ht="13.5" thickBot="1" x14ac:dyDescent="0.2">
      <c r="A76" s="499" t="s">
        <v>1390</v>
      </c>
      <c r="B76" s="506" t="s">
        <v>937</v>
      </c>
      <c r="C76" s="506" t="s">
        <v>1391</v>
      </c>
      <c r="D76" s="506" t="s">
        <v>937</v>
      </c>
      <c r="E76" s="500" t="s">
        <v>1386</v>
      </c>
    </row>
    <row r="77" spans="1:5" ht="13.5" thickBot="1" x14ac:dyDescent="0.2">
      <c r="A77" s="509" t="s">
        <v>1392</v>
      </c>
      <c r="B77" s="510" t="s">
        <v>937</v>
      </c>
      <c r="C77" s="510" t="s">
        <v>1393</v>
      </c>
      <c r="D77" s="510" t="s">
        <v>937</v>
      </c>
      <c r="E77" s="511" t="s">
        <v>1386</v>
      </c>
    </row>
    <row r="79" spans="1:5" ht="26.25" x14ac:dyDescent="0.15">
      <c r="A79" s="479" t="s">
        <v>1394</v>
      </c>
    </row>
    <row r="80" spans="1:5" ht="15" thickBot="1" x14ac:dyDescent="0.2">
      <c r="A80" s="480"/>
    </row>
    <row r="81" spans="1:5" ht="15.75" thickBot="1" x14ac:dyDescent="0.25">
      <c r="A81" s="470" t="s">
        <v>913</v>
      </c>
      <c r="B81" s="507" t="s">
        <v>914</v>
      </c>
      <c r="C81" s="507" t="s">
        <v>915</v>
      </c>
      <c r="D81" s="507" t="s">
        <v>916</v>
      </c>
      <c r="E81" s="508" t="s">
        <v>917</v>
      </c>
    </row>
    <row r="82" spans="1:5" ht="13.5" thickBot="1" x14ac:dyDescent="0.2">
      <c r="A82" s="499" t="s">
        <v>1395</v>
      </c>
      <c r="B82" s="506" t="s">
        <v>937</v>
      </c>
      <c r="C82" s="506" t="s">
        <v>1396</v>
      </c>
      <c r="D82" s="506" t="s">
        <v>937</v>
      </c>
      <c r="E82" s="500" t="s">
        <v>1386</v>
      </c>
    </row>
    <row r="83" spans="1:5" ht="13.5" thickBot="1" x14ac:dyDescent="0.2">
      <c r="A83" s="499" t="s">
        <v>1397</v>
      </c>
      <c r="B83" s="506" t="s">
        <v>937</v>
      </c>
      <c r="C83" s="506" t="s">
        <v>1398</v>
      </c>
      <c r="D83" s="506" t="s">
        <v>937</v>
      </c>
      <c r="E83" s="500" t="s">
        <v>1386</v>
      </c>
    </row>
    <row r="84" spans="1:5" ht="13.5" thickBot="1" x14ac:dyDescent="0.2">
      <c r="A84" s="509" t="s">
        <v>1399</v>
      </c>
      <c r="B84" s="510" t="s">
        <v>937</v>
      </c>
      <c r="C84" s="510" t="s">
        <v>1400</v>
      </c>
      <c r="D84" s="510" t="s">
        <v>937</v>
      </c>
      <c r="E84" s="511" t="s">
        <v>1386</v>
      </c>
    </row>
    <row r="86" spans="1:5" ht="26.25" x14ac:dyDescent="0.15">
      <c r="A86" s="479" t="s">
        <v>1401</v>
      </c>
    </row>
    <row r="87" spans="1:5" ht="14.25" x14ac:dyDescent="0.15">
      <c r="A87" s="480"/>
    </row>
    <row r="88" spans="1:5" ht="27.75" x14ac:dyDescent="0.2">
      <c r="A88" s="463" t="s">
        <v>742</v>
      </c>
      <c r="B88" s="463" t="s">
        <v>1295</v>
      </c>
      <c r="C88" s="463" t="s">
        <v>882</v>
      </c>
      <c r="D88" s="463" t="s">
        <v>883</v>
      </c>
      <c r="E88" s="463" t="s">
        <v>884</v>
      </c>
    </row>
    <row r="89" spans="1:5" ht="13.5" thickBot="1" x14ac:dyDescent="0.2">
      <c r="A89" s="516" t="s">
        <v>1296</v>
      </c>
      <c r="B89" s="517"/>
      <c r="C89" s="517"/>
      <c r="D89" s="517"/>
      <c r="E89" s="518"/>
    </row>
    <row r="90" spans="1:5" ht="25.5" thickBot="1" x14ac:dyDescent="0.2">
      <c r="A90" s="516"/>
      <c r="B90" s="517" t="s">
        <v>1297</v>
      </c>
      <c r="C90" s="517"/>
      <c r="D90" s="517"/>
      <c r="E90" s="518"/>
    </row>
    <row r="91" spans="1:5" ht="13.5" thickBot="1" x14ac:dyDescent="0.2">
      <c r="A91" s="516"/>
      <c r="B91" s="517" t="s">
        <v>1298</v>
      </c>
      <c r="C91" s="517" t="s">
        <v>78</v>
      </c>
      <c r="D91" s="519">
        <v>0.45</v>
      </c>
      <c r="E91" s="518"/>
    </row>
    <row r="92" spans="1:5" ht="13.5" thickBot="1" x14ac:dyDescent="0.2">
      <c r="A92" s="516"/>
      <c r="B92" s="517" t="s">
        <v>1299</v>
      </c>
      <c r="C92" s="517" t="s">
        <v>78</v>
      </c>
      <c r="D92" s="519">
        <v>0.55000000000000004</v>
      </c>
      <c r="E92" s="518"/>
    </row>
    <row r="93" spans="1:5" ht="37.5" thickBot="1" x14ac:dyDescent="0.2">
      <c r="A93" s="516"/>
      <c r="B93" s="517" t="s">
        <v>1300</v>
      </c>
      <c r="C93" s="517"/>
      <c r="D93" s="517"/>
      <c r="E93" s="518"/>
    </row>
    <row r="94" spans="1:5" ht="13.5" thickBot="1" x14ac:dyDescent="0.2">
      <c r="A94" s="516"/>
      <c r="B94" s="517" t="s">
        <v>1301</v>
      </c>
      <c r="C94" s="517" t="s">
        <v>78</v>
      </c>
      <c r="D94" s="519">
        <v>0.3</v>
      </c>
      <c r="E94" s="518"/>
    </row>
    <row r="95" spans="1:5" ht="13.5" thickBot="1" x14ac:dyDescent="0.2">
      <c r="A95" s="516"/>
      <c r="B95" s="517" t="s">
        <v>1302</v>
      </c>
      <c r="C95" s="517" t="s">
        <v>78</v>
      </c>
      <c r="D95" s="519">
        <v>0.25</v>
      </c>
      <c r="E95" s="518"/>
    </row>
    <row r="96" spans="1:5" ht="13.5" thickBot="1" x14ac:dyDescent="0.2">
      <c r="A96" s="516"/>
      <c r="B96" s="517" t="s">
        <v>1303</v>
      </c>
      <c r="C96" s="517" t="s">
        <v>658</v>
      </c>
      <c r="D96" s="519">
        <v>0.1</v>
      </c>
      <c r="E96" s="518"/>
    </row>
    <row r="97" spans="1:5" ht="37.5" thickBot="1" x14ac:dyDescent="0.2">
      <c r="A97" s="516"/>
      <c r="B97" s="517" t="s">
        <v>1304</v>
      </c>
      <c r="C97" s="517"/>
      <c r="D97" s="517"/>
      <c r="E97" s="518"/>
    </row>
    <row r="98" spans="1:5" ht="25.5" thickBot="1" x14ac:dyDescent="0.2">
      <c r="A98" s="516"/>
      <c r="B98" s="517" t="s">
        <v>1305</v>
      </c>
      <c r="C98" s="517" t="s">
        <v>78</v>
      </c>
      <c r="D98" s="519">
        <v>0.35</v>
      </c>
      <c r="E98" s="518"/>
    </row>
    <row r="99" spans="1:5" ht="13.5" thickBot="1" x14ac:dyDescent="0.2">
      <c r="A99" s="516"/>
      <c r="B99" s="517" t="s">
        <v>1306</v>
      </c>
      <c r="C99" s="517" t="s">
        <v>78</v>
      </c>
      <c r="D99" s="519">
        <v>0.3</v>
      </c>
      <c r="E99" s="518"/>
    </row>
    <row r="100" spans="1:5" ht="37.5" thickBot="1" x14ac:dyDescent="0.2">
      <c r="A100" s="516"/>
      <c r="B100" s="517" t="s">
        <v>1307</v>
      </c>
      <c r="C100" s="517"/>
      <c r="D100" s="517"/>
      <c r="E100" s="518"/>
    </row>
    <row r="101" spans="1:5" ht="25.5" thickBot="1" x14ac:dyDescent="0.2">
      <c r="A101" s="516"/>
      <c r="B101" s="517" t="s">
        <v>1308</v>
      </c>
      <c r="C101" s="517"/>
      <c r="D101" s="517"/>
      <c r="E101" s="518"/>
    </row>
    <row r="102" spans="1:5" ht="13.5" thickBot="1" x14ac:dyDescent="0.2">
      <c r="A102" s="516"/>
      <c r="B102" s="517" t="s">
        <v>1309</v>
      </c>
      <c r="C102" s="517" t="s">
        <v>78</v>
      </c>
      <c r="D102" s="519">
        <v>0.6</v>
      </c>
      <c r="E102" s="518"/>
    </row>
    <row r="103" spans="1:5" ht="13.5" thickBot="1" x14ac:dyDescent="0.2">
      <c r="A103" s="516"/>
      <c r="B103" s="517" t="s">
        <v>1310</v>
      </c>
      <c r="C103" s="517" t="s">
        <v>78</v>
      </c>
      <c r="D103" s="519">
        <v>0.7</v>
      </c>
      <c r="E103" s="518"/>
    </row>
    <row r="104" spans="1:5" ht="14.25" x14ac:dyDescent="0.15">
      <c r="A104" s="468"/>
    </row>
    <row r="105" spans="1:5" ht="15" thickBot="1" x14ac:dyDescent="0.2">
      <c r="A105" s="468"/>
    </row>
    <row r="106" spans="1:5" ht="15.75" thickBot="1" x14ac:dyDescent="0.25">
      <c r="A106" s="470" t="s">
        <v>913</v>
      </c>
      <c r="B106" s="507" t="s">
        <v>914</v>
      </c>
      <c r="C106" s="507" t="s">
        <v>915</v>
      </c>
      <c r="D106" s="507" t="s">
        <v>916</v>
      </c>
      <c r="E106" s="508" t="s">
        <v>917</v>
      </c>
    </row>
    <row r="107" spans="1:5" ht="13.5" thickBot="1" x14ac:dyDescent="0.2">
      <c r="A107" s="499" t="s">
        <v>1311</v>
      </c>
      <c r="B107" s="485" t="s">
        <v>937</v>
      </c>
      <c r="C107" s="506" t="s">
        <v>1097</v>
      </c>
      <c r="D107" s="506" t="s">
        <v>937</v>
      </c>
      <c r="E107" s="500" t="s">
        <v>922</v>
      </c>
    </row>
    <row r="108" spans="1:5" ht="13.5" thickBot="1" x14ac:dyDescent="0.2">
      <c r="A108" s="499" t="s">
        <v>1312</v>
      </c>
      <c r="B108" s="506" t="s">
        <v>937</v>
      </c>
      <c r="C108" s="506" t="s">
        <v>1313</v>
      </c>
      <c r="D108" s="506" t="s">
        <v>937</v>
      </c>
      <c r="E108" s="500" t="s">
        <v>922</v>
      </c>
    </row>
    <row r="109" spans="1:5" ht="13.5" thickBot="1" x14ac:dyDescent="0.2">
      <c r="A109" s="499" t="s">
        <v>1314</v>
      </c>
      <c r="B109" s="506" t="s">
        <v>937</v>
      </c>
      <c r="C109" s="506" t="s">
        <v>1313</v>
      </c>
      <c r="D109" s="506" t="s">
        <v>937</v>
      </c>
      <c r="E109" s="500" t="s">
        <v>978</v>
      </c>
    </row>
    <row r="110" spans="1:5" ht="13.5" thickBot="1" x14ac:dyDescent="0.2">
      <c r="A110" s="499" t="s">
        <v>1315</v>
      </c>
      <c r="B110" s="506" t="s">
        <v>937</v>
      </c>
      <c r="C110" s="506" t="s">
        <v>931</v>
      </c>
      <c r="D110" s="506" t="s">
        <v>937</v>
      </c>
      <c r="E110" s="500" t="s">
        <v>922</v>
      </c>
    </row>
    <row r="111" spans="1:5" ht="13.5" thickBot="1" x14ac:dyDescent="0.2">
      <c r="A111" s="499" t="s">
        <v>1316</v>
      </c>
      <c r="B111" s="506" t="s">
        <v>937</v>
      </c>
      <c r="C111" s="506" t="s">
        <v>926</v>
      </c>
      <c r="D111" s="506" t="s">
        <v>937</v>
      </c>
      <c r="E111" s="500" t="s">
        <v>922</v>
      </c>
    </row>
    <row r="112" spans="1:5" ht="13.5" thickBot="1" x14ac:dyDescent="0.2">
      <c r="A112" s="499" t="s">
        <v>1317</v>
      </c>
      <c r="B112" s="506" t="s">
        <v>937</v>
      </c>
      <c r="C112" s="506" t="s">
        <v>959</v>
      </c>
      <c r="D112" s="506" t="s">
        <v>937</v>
      </c>
      <c r="E112" s="500" t="s">
        <v>978</v>
      </c>
    </row>
    <row r="113" spans="1:5" ht="13.5" thickBot="1" x14ac:dyDescent="0.2">
      <c r="A113" s="499" t="s">
        <v>1318</v>
      </c>
      <c r="B113" s="506" t="s">
        <v>937</v>
      </c>
      <c r="C113" s="506" t="s">
        <v>926</v>
      </c>
      <c r="D113" s="506" t="s">
        <v>937</v>
      </c>
      <c r="E113" s="500" t="s">
        <v>922</v>
      </c>
    </row>
    <row r="114" spans="1:5" ht="13.5" thickBot="1" x14ac:dyDescent="0.2">
      <c r="A114" s="499" t="s">
        <v>1319</v>
      </c>
      <c r="B114" s="506" t="s">
        <v>937</v>
      </c>
      <c r="C114" s="506" t="s">
        <v>960</v>
      </c>
      <c r="D114" s="506" t="s">
        <v>937</v>
      </c>
      <c r="E114" s="500" t="s">
        <v>922</v>
      </c>
    </row>
    <row r="115" spans="1:5" ht="13.5" thickBot="1" x14ac:dyDescent="0.2">
      <c r="A115" s="509" t="s">
        <v>1320</v>
      </c>
      <c r="B115" s="510" t="s">
        <v>937</v>
      </c>
      <c r="C115" s="510" t="s">
        <v>1187</v>
      </c>
      <c r="D115" s="510" t="s">
        <v>937</v>
      </c>
      <c r="E115" s="511" t="s">
        <v>978</v>
      </c>
    </row>
    <row r="117" spans="1:5" ht="26.25" x14ac:dyDescent="0.15">
      <c r="A117" s="479" t="s">
        <v>1402</v>
      </c>
    </row>
    <row r="118" spans="1:5" ht="15" thickBot="1" x14ac:dyDescent="0.2">
      <c r="A118" s="480"/>
    </row>
    <row r="119" spans="1:5" ht="15.75" thickBot="1" x14ac:dyDescent="0.25">
      <c r="A119" s="470" t="s">
        <v>913</v>
      </c>
      <c r="B119" s="507" t="s">
        <v>914</v>
      </c>
      <c r="C119" s="507" t="s">
        <v>915</v>
      </c>
      <c r="D119" s="507" t="s">
        <v>916</v>
      </c>
      <c r="E119" s="508" t="s">
        <v>917</v>
      </c>
    </row>
    <row r="120" spans="1:5" ht="13.5" thickBot="1" x14ac:dyDescent="0.2">
      <c r="A120" s="499" t="s">
        <v>1403</v>
      </c>
      <c r="B120" s="506" t="s">
        <v>937</v>
      </c>
      <c r="C120" s="506" t="s">
        <v>1404</v>
      </c>
      <c r="D120" s="506" t="s">
        <v>937</v>
      </c>
      <c r="E120" s="500" t="s">
        <v>1386</v>
      </c>
    </row>
    <row r="121" spans="1:5" ht="13.5" thickBot="1" x14ac:dyDescent="0.2">
      <c r="A121" s="499" t="s">
        <v>1405</v>
      </c>
      <c r="B121" s="506" t="s">
        <v>937</v>
      </c>
      <c r="C121" s="506" t="s">
        <v>1406</v>
      </c>
      <c r="D121" s="506" t="s">
        <v>937</v>
      </c>
      <c r="E121" s="500" t="s">
        <v>1386</v>
      </c>
    </row>
    <row r="122" spans="1:5" ht="13.5" thickBot="1" x14ac:dyDescent="0.2">
      <c r="A122" s="499" t="s">
        <v>1407</v>
      </c>
      <c r="B122" s="506" t="s">
        <v>937</v>
      </c>
      <c r="C122" s="506" t="s">
        <v>1173</v>
      </c>
      <c r="D122" s="506" t="s">
        <v>937</v>
      </c>
      <c r="E122" s="500" t="s">
        <v>1386</v>
      </c>
    </row>
    <row r="123" spans="1:5" ht="13.5" thickBot="1" x14ac:dyDescent="0.2">
      <c r="A123" s="499" t="s">
        <v>1408</v>
      </c>
      <c r="B123" s="506" t="s">
        <v>937</v>
      </c>
      <c r="C123" s="506" t="s">
        <v>952</v>
      </c>
      <c r="D123" s="506" t="s">
        <v>937</v>
      </c>
      <c r="E123" s="500" t="s">
        <v>1386</v>
      </c>
    </row>
    <row r="124" spans="1:5" ht="13.5" thickBot="1" x14ac:dyDescent="0.2">
      <c r="A124" s="499" t="s">
        <v>1409</v>
      </c>
      <c r="B124" s="506" t="s">
        <v>937</v>
      </c>
      <c r="C124" s="506" t="s">
        <v>1326</v>
      </c>
      <c r="D124" s="506" t="s">
        <v>937</v>
      </c>
      <c r="E124" s="500" t="s">
        <v>1386</v>
      </c>
    </row>
    <row r="125" spans="1:5" ht="13.5" thickBot="1" x14ac:dyDescent="0.2">
      <c r="A125" s="499" t="s">
        <v>1410</v>
      </c>
      <c r="B125" s="506" t="s">
        <v>937</v>
      </c>
      <c r="C125" s="506" t="s">
        <v>1163</v>
      </c>
      <c r="D125" s="506" t="s">
        <v>937</v>
      </c>
      <c r="E125" s="500" t="s">
        <v>1386</v>
      </c>
    </row>
    <row r="126" spans="1:5" ht="13.5" thickBot="1" x14ac:dyDescent="0.2">
      <c r="A126" s="499" t="s">
        <v>1411</v>
      </c>
      <c r="B126" s="506" t="s">
        <v>937</v>
      </c>
      <c r="C126" s="506" t="s">
        <v>931</v>
      </c>
      <c r="D126" s="506" t="s">
        <v>937</v>
      </c>
      <c r="E126" s="500" t="s">
        <v>1386</v>
      </c>
    </row>
    <row r="127" spans="1:5" ht="13.5" thickBot="1" x14ac:dyDescent="0.2">
      <c r="A127" s="499" t="s">
        <v>1412</v>
      </c>
      <c r="B127" s="506" t="s">
        <v>937</v>
      </c>
      <c r="C127" s="506" t="s">
        <v>970</v>
      </c>
      <c r="D127" s="506" t="s">
        <v>937</v>
      </c>
      <c r="E127" s="500" t="s">
        <v>1386</v>
      </c>
    </row>
    <row r="128" spans="1:5" ht="13.5" thickBot="1" x14ac:dyDescent="0.2">
      <c r="A128" s="499" t="s">
        <v>1413</v>
      </c>
      <c r="B128" s="506" t="s">
        <v>937</v>
      </c>
      <c r="C128" s="506" t="s">
        <v>1187</v>
      </c>
      <c r="D128" s="506" t="s">
        <v>937</v>
      </c>
      <c r="E128" s="500" t="s">
        <v>1386</v>
      </c>
    </row>
    <row r="129" spans="1:5" ht="13.5" thickBot="1" x14ac:dyDescent="0.2">
      <c r="A129" s="499" t="s">
        <v>1414</v>
      </c>
      <c r="B129" s="506" t="s">
        <v>937</v>
      </c>
      <c r="C129" s="506" t="s">
        <v>926</v>
      </c>
      <c r="D129" s="506" t="s">
        <v>937</v>
      </c>
      <c r="E129" s="500" t="s">
        <v>1386</v>
      </c>
    </row>
    <row r="130" spans="1:5" ht="13.5" thickBot="1" x14ac:dyDescent="0.2">
      <c r="A130" s="499" t="s">
        <v>1415</v>
      </c>
      <c r="B130" s="506" t="s">
        <v>937</v>
      </c>
      <c r="C130" s="506" t="s">
        <v>931</v>
      </c>
      <c r="D130" s="506" t="s">
        <v>937</v>
      </c>
      <c r="E130" s="500" t="s">
        <v>1386</v>
      </c>
    </row>
    <row r="131" spans="1:5" ht="13.5" thickBot="1" x14ac:dyDescent="0.2">
      <c r="A131" s="499" t="s">
        <v>1416</v>
      </c>
      <c r="B131" s="506" t="s">
        <v>937</v>
      </c>
      <c r="C131" s="506" t="s">
        <v>1140</v>
      </c>
      <c r="D131" s="506" t="s">
        <v>937</v>
      </c>
      <c r="E131" s="500" t="s">
        <v>1386</v>
      </c>
    </row>
    <row r="132" spans="1:5" ht="13.5" thickBot="1" x14ac:dyDescent="0.2">
      <c r="A132" s="499" t="s">
        <v>1417</v>
      </c>
      <c r="B132" s="506" t="s">
        <v>937</v>
      </c>
      <c r="C132" s="506" t="s">
        <v>1418</v>
      </c>
      <c r="D132" s="506" t="s">
        <v>937</v>
      </c>
      <c r="E132" s="500" t="s">
        <v>1419</v>
      </c>
    </row>
    <row r="133" spans="1:5" ht="13.5" thickBot="1" x14ac:dyDescent="0.2">
      <c r="A133" s="499" t="s">
        <v>1420</v>
      </c>
      <c r="B133" s="506" t="s">
        <v>937</v>
      </c>
      <c r="C133" s="506" t="s">
        <v>1421</v>
      </c>
      <c r="D133" s="506" t="s">
        <v>937</v>
      </c>
      <c r="E133" s="500" t="s">
        <v>1419</v>
      </c>
    </row>
    <row r="134" spans="1:5" ht="13.5" thickBot="1" x14ac:dyDescent="0.2">
      <c r="A134" s="499" t="s">
        <v>1422</v>
      </c>
      <c r="B134" s="506" t="s">
        <v>937</v>
      </c>
      <c r="C134" s="506" t="s">
        <v>956</v>
      </c>
      <c r="D134" s="506" t="s">
        <v>937</v>
      </c>
      <c r="E134" s="500" t="s">
        <v>1419</v>
      </c>
    </row>
    <row r="135" spans="1:5" ht="13.5" thickBot="1" x14ac:dyDescent="0.2">
      <c r="A135" s="499" t="s">
        <v>1423</v>
      </c>
      <c r="B135" s="506" t="s">
        <v>937</v>
      </c>
      <c r="C135" s="506" t="s">
        <v>1097</v>
      </c>
      <c r="D135" s="506" t="s">
        <v>937</v>
      </c>
      <c r="E135" s="500" t="s">
        <v>1419</v>
      </c>
    </row>
    <row r="136" spans="1:5" ht="13.5" thickBot="1" x14ac:dyDescent="0.2">
      <c r="A136" s="499" t="s">
        <v>1424</v>
      </c>
      <c r="B136" s="506" t="s">
        <v>937</v>
      </c>
      <c r="C136" s="506" t="s">
        <v>938</v>
      </c>
      <c r="D136" s="506" t="s">
        <v>937</v>
      </c>
      <c r="E136" s="500" t="s">
        <v>1419</v>
      </c>
    </row>
    <row r="137" spans="1:5" ht="13.5" thickBot="1" x14ac:dyDescent="0.2">
      <c r="A137" s="499" t="s">
        <v>1425</v>
      </c>
      <c r="B137" s="506" t="s">
        <v>937</v>
      </c>
      <c r="C137" s="506" t="s">
        <v>941</v>
      </c>
      <c r="D137" s="506" t="s">
        <v>937</v>
      </c>
      <c r="E137" s="500" t="s">
        <v>1426</v>
      </c>
    </row>
    <row r="138" spans="1:5" ht="13.5" thickBot="1" x14ac:dyDescent="0.2">
      <c r="A138" s="509" t="s">
        <v>1427</v>
      </c>
      <c r="B138" s="510" t="s">
        <v>937</v>
      </c>
      <c r="C138" s="510" t="s">
        <v>982</v>
      </c>
      <c r="D138" s="510" t="s">
        <v>937</v>
      </c>
      <c r="E138" s="511" t="s">
        <v>1386</v>
      </c>
    </row>
    <row r="140" spans="1:5" ht="51.75" x14ac:dyDescent="0.35">
      <c r="A140" s="479" t="s">
        <v>1428</v>
      </c>
    </row>
    <row r="141" spans="1:5" ht="15" thickBot="1" x14ac:dyDescent="0.2">
      <c r="A141" s="480"/>
    </row>
    <row r="142" spans="1:5" ht="15.75" thickBot="1" x14ac:dyDescent="0.25">
      <c r="A142" s="470" t="s">
        <v>913</v>
      </c>
      <c r="B142" s="507" t="s">
        <v>914</v>
      </c>
      <c r="C142" s="507" t="s">
        <v>915</v>
      </c>
      <c r="D142" s="507" t="s">
        <v>916</v>
      </c>
      <c r="E142" s="508" t="s">
        <v>917</v>
      </c>
    </row>
    <row r="143" spans="1:5" ht="13.5" thickBot="1" x14ac:dyDescent="0.2">
      <c r="A143" s="499" t="s">
        <v>1429</v>
      </c>
      <c r="B143" s="485" t="s">
        <v>937</v>
      </c>
      <c r="C143" s="506" t="s">
        <v>1430</v>
      </c>
      <c r="D143" s="506" t="s">
        <v>937</v>
      </c>
      <c r="E143" s="500" t="s">
        <v>1386</v>
      </c>
    </row>
    <row r="144" spans="1:5" ht="13.5" thickBot="1" x14ac:dyDescent="0.2">
      <c r="A144" s="499" t="s">
        <v>1431</v>
      </c>
      <c r="B144" s="506" t="s">
        <v>937</v>
      </c>
      <c r="C144" s="506" t="s">
        <v>1432</v>
      </c>
      <c r="D144" s="506" t="s">
        <v>937</v>
      </c>
      <c r="E144" s="500" t="s">
        <v>1386</v>
      </c>
    </row>
    <row r="145" spans="1:5" ht="13.5" thickBot="1" x14ac:dyDescent="0.2">
      <c r="A145" s="499" t="s">
        <v>1433</v>
      </c>
      <c r="B145" s="506" t="s">
        <v>937</v>
      </c>
      <c r="C145" s="506" t="s">
        <v>1391</v>
      </c>
      <c r="D145" s="506" t="s">
        <v>937</v>
      </c>
      <c r="E145" s="500" t="s">
        <v>1386</v>
      </c>
    </row>
    <row r="146" spans="1:5" ht="13.5" thickBot="1" x14ac:dyDescent="0.2">
      <c r="A146" s="499" t="s">
        <v>1434</v>
      </c>
      <c r="B146" s="506" t="s">
        <v>937</v>
      </c>
      <c r="C146" s="506" t="s">
        <v>1435</v>
      </c>
      <c r="D146" s="506" t="s">
        <v>937</v>
      </c>
      <c r="E146" s="500" t="s">
        <v>1386</v>
      </c>
    </row>
    <row r="147" spans="1:5" ht="13.5" thickBot="1" x14ac:dyDescent="0.2">
      <c r="A147" s="509" t="s">
        <v>1436</v>
      </c>
      <c r="B147" s="510" t="s">
        <v>937</v>
      </c>
      <c r="C147" s="510" t="s">
        <v>942</v>
      </c>
      <c r="D147" s="510" t="s">
        <v>937</v>
      </c>
      <c r="E147" s="511" t="s">
        <v>1437</v>
      </c>
    </row>
    <row r="149" spans="1:5" ht="51.75" x14ac:dyDescent="0.35">
      <c r="A149" s="479" t="s">
        <v>1438</v>
      </c>
    </row>
    <row r="150" spans="1:5" ht="15" thickBot="1" x14ac:dyDescent="0.2">
      <c r="A150" s="480"/>
    </row>
    <row r="151" spans="1:5" ht="28.5" thickBot="1" x14ac:dyDescent="0.25">
      <c r="A151" s="481" t="s">
        <v>742</v>
      </c>
      <c r="B151" s="481" t="s">
        <v>741</v>
      </c>
      <c r="C151" s="481" t="s">
        <v>882</v>
      </c>
      <c r="D151" s="481" t="s">
        <v>883</v>
      </c>
      <c r="E151" s="481" t="s">
        <v>884</v>
      </c>
    </row>
    <row r="152" spans="1:5" ht="13.5" thickBot="1" x14ac:dyDescent="0.2">
      <c r="A152" s="482" t="s">
        <v>1438</v>
      </c>
      <c r="B152" s="483"/>
      <c r="C152" s="483"/>
      <c r="D152" s="484"/>
      <c r="E152" s="485"/>
    </row>
    <row r="153" spans="1:5" ht="25.5" thickBot="1" x14ac:dyDescent="0.2">
      <c r="A153" s="482"/>
      <c r="B153" s="483" t="s">
        <v>1439</v>
      </c>
      <c r="C153" s="483" t="s">
        <v>84</v>
      </c>
      <c r="D153" s="484">
        <v>0.05</v>
      </c>
      <c r="E153" s="485"/>
    </row>
    <row r="154" spans="1:5" ht="25.5" thickBot="1" x14ac:dyDescent="0.2">
      <c r="A154" s="482"/>
      <c r="B154" s="483" t="s">
        <v>1440</v>
      </c>
      <c r="C154" s="483" t="s">
        <v>84</v>
      </c>
      <c r="D154" s="484">
        <v>0.04</v>
      </c>
      <c r="E154" s="48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8"/>
  <sheetViews>
    <sheetView workbookViewId="0">
      <selection activeCell="L5" sqref="L5"/>
    </sheetView>
  </sheetViews>
  <sheetFormatPr defaultRowHeight="12.75" x14ac:dyDescent="0.15"/>
  <cols>
    <col min="1" max="1" width="39.51171875" customWidth="1"/>
    <col min="2" max="2" width="19.01171875" customWidth="1"/>
    <col min="3" max="3" width="11.32421875" customWidth="1"/>
    <col min="4" max="4" width="5.390625" bestFit="1" customWidth="1"/>
  </cols>
  <sheetData>
    <row r="1" spans="1:5" ht="15" thickBot="1" x14ac:dyDescent="0.2">
      <c r="A1" s="520" t="s">
        <v>1441</v>
      </c>
    </row>
    <row r="2" spans="1:5" ht="15.75" thickBot="1" x14ac:dyDescent="0.25">
      <c r="A2" s="470" t="s">
        <v>913</v>
      </c>
      <c r="B2" s="507" t="s">
        <v>914</v>
      </c>
      <c r="C2" s="507" t="s">
        <v>915</v>
      </c>
      <c r="D2" s="507" t="s">
        <v>916</v>
      </c>
      <c r="E2" s="508" t="s">
        <v>917</v>
      </c>
    </row>
    <row r="3" spans="1:5" ht="25.5" thickBot="1" x14ac:dyDescent="0.2">
      <c r="A3" s="524" t="s">
        <v>1442</v>
      </c>
      <c r="B3" s="522" t="s">
        <v>1225</v>
      </c>
      <c r="C3" s="522" t="s">
        <v>1358</v>
      </c>
      <c r="D3" s="522" t="s">
        <v>1443</v>
      </c>
      <c r="E3" s="525" t="s">
        <v>1262</v>
      </c>
    </row>
    <row r="4" spans="1:5" ht="13.5" thickBot="1" x14ac:dyDescent="0.2">
      <c r="A4" s="524" t="s">
        <v>1444</v>
      </c>
      <c r="B4" s="522" t="s">
        <v>937</v>
      </c>
      <c r="C4" s="522" t="s">
        <v>1445</v>
      </c>
      <c r="D4" s="522" t="s">
        <v>1446</v>
      </c>
      <c r="E4" s="525" t="s">
        <v>1262</v>
      </c>
    </row>
    <row r="5" spans="1:5" ht="25.5" thickBot="1" x14ac:dyDescent="0.2">
      <c r="A5" s="524" t="s">
        <v>1447</v>
      </c>
      <c r="B5" s="522" t="s">
        <v>937</v>
      </c>
      <c r="C5" s="522" t="s">
        <v>1151</v>
      </c>
      <c r="D5" s="522" t="s">
        <v>937</v>
      </c>
      <c r="E5" s="525" t="s">
        <v>1262</v>
      </c>
    </row>
    <row r="6" spans="1:5" ht="13.5" thickBot="1" x14ac:dyDescent="0.2">
      <c r="A6" s="524" t="s">
        <v>1448</v>
      </c>
      <c r="B6" s="522" t="s">
        <v>1265</v>
      </c>
      <c r="C6" s="522" t="s">
        <v>1449</v>
      </c>
      <c r="D6" s="522" t="s">
        <v>1101</v>
      </c>
      <c r="E6" s="525" t="s">
        <v>1262</v>
      </c>
    </row>
    <row r="7" spans="1:5" ht="13.5" thickBot="1" x14ac:dyDescent="0.2">
      <c r="A7" s="524" t="s">
        <v>1450</v>
      </c>
      <c r="B7" s="522" t="s">
        <v>937</v>
      </c>
      <c r="C7" s="522" t="s">
        <v>1094</v>
      </c>
      <c r="D7" s="522" t="s">
        <v>937</v>
      </c>
      <c r="E7" s="525" t="s">
        <v>1262</v>
      </c>
    </row>
    <row r="8" spans="1:5" ht="13.5" thickBot="1" x14ac:dyDescent="0.2">
      <c r="A8" s="524" t="s">
        <v>1451</v>
      </c>
      <c r="B8" s="522" t="s">
        <v>937</v>
      </c>
      <c r="C8" s="522" t="s">
        <v>925</v>
      </c>
      <c r="D8" s="522" t="s">
        <v>937</v>
      </c>
      <c r="E8" s="525" t="s">
        <v>1262</v>
      </c>
    </row>
    <row r="9" spans="1:5" ht="13.5" thickBot="1" x14ac:dyDescent="0.2">
      <c r="A9" s="524" t="s">
        <v>1452</v>
      </c>
      <c r="B9" s="522" t="s">
        <v>937</v>
      </c>
      <c r="C9" s="522" t="s">
        <v>925</v>
      </c>
      <c r="D9" s="522" t="s">
        <v>937</v>
      </c>
      <c r="E9" s="525" t="s">
        <v>1262</v>
      </c>
    </row>
    <row r="10" spans="1:5" ht="13.5" thickBot="1" x14ac:dyDescent="0.2">
      <c r="A10" s="526" t="s">
        <v>1453</v>
      </c>
      <c r="B10" s="527" t="s">
        <v>937</v>
      </c>
      <c r="C10" s="527" t="s">
        <v>925</v>
      </c>
      <c r="D10" s="527" t="s">
        <v>937</v>
      </c>
      <c r="E10" s="528" t="s">
        <v>1262</v>
      </c>
    </row>
    <row r="11" spans="1:5" ht="18" x14ac:dyDescent="0.15">
      <c r="A11" s="529"/>
    </row>
    <row r="12" spans="1:5" ht="15" thickBot="1" x14ac:dyDescent="0.2">
      <c r="A12" s="520" t="s">
        <v>1454</v>
      </c>
    </row>
    <row r="13" spans="1:5" ht="15.75" thickBot="1" x14ac:dyDescent="0.25">
      <c r="A13" s="470" t="s">
        <v>913</v>
      </c>
      <c r="B13" s="507" t="s">
        <v>914</v>
      </c>
      <c r="C13" s="507" t="s">
        <v>915</v>
      </c>
      <c r="D13" s="507" t="s">
        <v>916</v>
      </c>
      <c r="E13" s="508" t="s">
        <v>917</v>
      </c>
    </row>
    <row r="14" spans="1:5" ht="13.5" thickBot="1" x14ac:dyDescent="0.2">
      <c r="A14" s="524" t="s">
        <v>1455</v>
      </c>
      <c r="B14" s="522" t="s">
        <v>937</v>
      </c>
      <c r="C14" s="522" t="s">
        <v>952</v>
      </c>
      <c r="D14" s="522" t="s">
        <v>937</v>
      </c>
      <c r="E14" s="525" t="s">
        <v>1456</v>
      </c>
    </row>
    <row r="15" spans="1:5" ht="13.5" thickBot="1" x14ac:dyDescent="0.2">
      <c r="A15" s="524" t="s">
        <v>1457</v>
      </c>
      <c r="B15" s="522" t="s">
        <v>937</v>
      </c>
      <c r="C15" s="522" t="s">
        <v>925</v>
      </c>
      <c r="D15" s="522" t="s">
        <v>937</v>
      </c>
      <c r="E15" s="525" t="s">
        <v>1456</v>
      </c>
    </row>
    <row r="16" spans="1:5" ht="13.5" thickBot="1" x14ac:dyDescent="0.2">
      <c r="A16" s="524" t="s">
        <v>1458</v>
      </c>
      <c r="B16" s="522" t="s">
        <v>937</v>
      </c>
      <c r="C16" s="522" t="s">
        <v>1151</v>
      </c>
      <c r="D16" s="522" t="s">
        <v>937</v>
      </c>
      <c r="E16" s="525" t="s">
        <v>1459</v>
      </c>
    </row>
    <row r="17" spans="1:5" ht="13.5" thickBot="1" x14ac:dyDescent="0.2">
      <c r="A17" s="524" t="s">
        <v>1460</v>
      </c>
      <c r="B17" s="522" t="s">
        <v>937</v>
      </c>
      <c r="C17" s="522" t="s">
        <v>1358</v>
      </c>
      <c r="D17" s="522" t="s">
        <v>937</v>
      </c>
      <c r="E17" s="525" t="s">
        <v>1262</v>
      </c>
    </row>
    <row r="18" spans="1:5" ht="25.5" thickBot="1" x14ac:dyDescent="0.2">
      <c r="A18" s="526" t="s">
        <v>1461</v>
      </c>
      <c r="B18" s="527" t="s">
        <v>1114</v>
      </c>
      <c r="C18" s="527" t="s">
        <v>1462</v>
      </c>
      <c r="D18" s="527" t="s">
        <v>1391</v>
      </c>
      <c r="E18" s="528" t="s">
        <v>1262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E12"/>
  <sheetViews>
    <sheetView workbookViewId="0">
      <selection activeCell="B1" sqref="B1"/>
    </sheetView>
  </sheetViews>
  <sheetFormatPr defaultRowHeight="12.75" x14ac:dyDescent="0.15"/>
  <cols>
    <col min="1" max="1" width="44.76953125" customWidth="1"/>
    <col min="2" max="2" width="31.015625" customWidth="1"/>
    <col min="4" max="4" width="12.80859375" customWidth="1"/>
  </cols>
  <sheetData>
    <row r="3" spans="1:5" ht="13.5" thickBot="1" x14ac:dyDescent="0.2">
      <c r="A3" s="521"/>
      <c r="B3" s="521"/>
      <c r="C3" s="521"/>
      <c r="D3" s="521"/>
      <c r="E3" s="521"/>
    </row>
    <row r="4" spans="1:5" ht="28.5" thickBot="1" x14ac:dyDescent="0.25">
      <c r="A4" s="481" t="s">
        <v>742</v>
      </c>
      <c r="B4" s="481"/>
      <c r="C4" s="481" t="s">
        <v>882</v>
      </c>
      <c r="D4" s="481" t="s">
        <v>883</v>
      </c>
      <c r="E4" s="481" t="s">
        <v>884</v>
      </c>
    </row>
    <row r="5" spans="1:5" ht="25.5" thickBot="1" x14ac:dyDescent="0.2">
      <c r="A5" s="492" t="s">
        <v>1463</v>
      </c>
      <c r="B5" s="493" t="s">
        <v>1464</v>
      </c>
      <c r="C5" s="493"/>
      <c r="D5" s="493"/>
      <c r="E5" s="523"/>
    </row>
    <row r="6" spans="1:5" ht="13.5" thickBot="1" x14ac:dyDescent="0.2">
      <c r="A6" s="492"/>
      <c r="B6" s="493" t="s">
        <v>1465</v>
      </c>
      <c r="C6" s="493"/>
      <c r="D6" s="493"/>
      <c r="E6" s="523"/>
    </row>
    <row r="7" spans="1:5" ht="13.5" thickBot="1" x14ac:dyDescent="0.2">
      <c r="A7" s="492"/>
      <c r="B7" s="493" t="s">
        <v>1466</v>
      </c>
      <c r="C7" s="493" t="s">
        <v>84</v>
      </c>
      <c r="D7" s="491">
        <v>0.2</v>
      </c>
      <c r="E7" s="523"/>
    </row>
    <row r="8" spans="1:5" ht="13.5" thickBot="1" x14ac:dyDescent="0.2">
      <c r="A8" s="492"/>
      <c r="B8" s="493" t="s">
        <v>1467</v>
      </c>
      <c r="C8" s="493" t="s">
        <v>84</v>
      </c>
      <c r="D8" s="491">
        <v>0.18</v>
      </c>
      <c r="E8" s="523"/>
    </row>
    <row r="9" spans="1:5" ht="13.5" thickBot="1" x14ac:dyDescent="0.2">
      <c r="A9" s="492" t="s">
        <v>1468</v>
      </c>
      <c r="B9" s="493"/>
      <c r="C9" s="493"/>
      <c r="D9" s="493"/>
      <c r="E9" s="523"/>
    </row>
    <row r="10" spans="1:5" ht="25.5" thickBot="1" x14ac:dyDescent="0.2">
      <c r="A10" s="492"/>
      <c r="B10" s="493" t="s">
        <v>1469</v>
      </c>
      <c r="C10" s="493" t="s">
        <v>84</v>
      </c>
      <c r="D10" s="491">
        <v>0.25</v>
      </c>
      <c r="E10" s="523"/>
    </row>
    <row r="11" spans="1:5" ht="13.5" thickBot="1" x14ac:dyDescent="0.2">
      <c r="A11" s="492"/>
      <c r="B11" s="493" t="s">
        <v>1470</v>
      </c>
      <c r="C11" s="493"/>
      <c r="D11" s="493"/>
      <c r="E11" s="523"/>
    </row>
    <row r="12" spans="1:5" ht="25.5" thickBot="1" x14ac:dyDescent="0.2">
      <c r="A12" s="492"/>
      <c r="B12" s="493" t="s">
        <v>1471</v>
      </c>
      <c r="C12" s="493" t="s">
        <v>84</v>
      </c>
      <c r="D12" s="491">
        <v>0.14000000000000001</v>
      </c>
      <c r="E12" s="52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E17"/>
  <sheetViews>
    <sheetView workbookViewId="0">
      <selection activeCell="A3" sqref="A3:E17"/>
    </sheetView>
  </sheetViews>
  <sheetFormatPr defaultRowHeight="12.75" x14ac:dyDescent="0.15"/>
  <cols>
    <col min="1" max="1" width="37.08203125" customWidth="1"/>
  </cols>
  <sheetData>
    <row r="2" spans="1:5" ht="13.5" thickBot="1" x14ac:dyDescent="0.2"/>
    <row r="3" spans="1:5" ht="15.75" thickBot="1" x14ac:dyDescent="0.25">
      <c r="A3" s="470" t="s">
        <v>913</v>
      </c>
      <c r="B3" s="471" t="s">
        <v>914</v>
      </c>
      <c r="C3" s="471" t="s">
        <v>915</v>
      </c>
      <c r="D3" s="471" t="s">
        <v>916</v>
      </c>
      <c r="E3" s="472" t="s">
        <v>917</v>
      </c>
    </row>
    <row r="4" spans="1:5" ht="13.5" thickBot="1" x14ac:dyDescent="0.2">
      <c r="A4" s="473" t="s">
        <v>1472</v>
      </c>
      <c r="B4" s="469" t="s">
        <v>937</v>
      </c>
      <c r="C4" s="469" t="s">
        <v>929</v>
      </c>
      <c r="D4" s="469" t="s">
        <v>930</v>
      </c>
      <c r="E4" s="474" t="s">
        <v>978</v>
      </c>
    </row>
    <row r="5" spans="1:5" ht="25.5" thickBot="1" x14ac:dyDescent="0.2">
      <c r="A5" s="473" t="s">
        <v>1473</v>
      </c>
      <c r="B5" s="469" t="s">
        <v>937</v>
      </c>
      <c r="C5" s="469" t="s">
        <v>1474</v>
      </c>
      <c r="D5" s="469" t="s">
        <v>937</v>
      </c>
      <c r="E5" s="474" t="s">
        <v>922</v>
      </c>
    </row>
    <row r="6" spans="1:5" ht="25.5" thickBot="1" x14ac:dyDescent="0.2">
      <c r="A6" s="473" t="s">
        <v>1475</v>
      </c>
      <c r="B6" s="469" t="s">
        <v>937</v>
      </c>
      <c r="C6" s="469" t="s">
        <v>930</v>
      </c>
      <c r="D6" s="469" t="s">
        <v>937</v>
      </c>
      <c r="E6" s="474" t="s">
        <v>927</v>
      </c>
    </row>
    <row r="7" spans="1:5" ht="13.5" thickBot="1" x14ac:dyDescent="0.2">
      <c r="A7" s="473" t="s">
        <v>1476</v>
      </c>
      <c r="B7" s="469" t="s">
        <v>1184</v>
      </c>
      <c r="C7" s="469" t="s">
        <v>1477</v>
      </c>
      <c r="D7" s="469" t="s">
        <v>1478</v>
      </c>
      <c r="E7" s="474" t="s">
        <v>978</v>
      </c>
    </row>
    <row r="8" spans="1:5" ht="25.5" thickBot="1" x14ac:dyDescent="0.2">
      <c r="A8" s="473" t="s">
        <v>1479</v>
      </c>
      <c r="B8" s="469" t="s">
        <v>1054</v>
      </c>
      <c r="C8" s="469" t="s">
        <v>1151</v>
      </c>
      <c r="D8" s="469" t="s">
        <v>1091</v>
      </c>
      <c r="E8" s="474" t="s">
        <v>927</v>
      </c>
    </row>
    <row r="9" spans="1:5" ht="25.5" thickBot="1" x14ac:dyDescent="0.2">
      <c r="A9" s="473" t="s">
        <v>1480</v>
      </c>
      <c r="B9" s="469" t="s">
        <v>942</v>
      </c>
      <c r="C9" s="469" t="s">
        <v>924</v>
      </c>
      <c r="D9" s="469" t="s">
        <v>1187</v>
      </c>
      <c r="E9" s="474" t="s">
        <v>927</v>
      </c>
    </row>
    <row r="10" spans="1:5" ht="25.5" thickBot="1" x14ac:dyDescent="0.2">
      <c r="A10" s="473" t="s">
        <v>1481</v>
      </c>
      <c r="B10" s="469" t="s">
        <v>930</v>
      </c>
      <c r="C10" s="469" t="s">
        <v>1092</v>
      </c>
      <c r="D10" s="469" t="s">
        <v>931</v>
      </c>
      <c r="E10" s="474" t="s">
        <v>927</v>
      </c>
    </row>
    <row r="11" spans="1:5" ht="25.5" thickBot="1" x14ac:dyDescent="0.2">
      <c r="A11" s="473" t="s">
        <v>1482</v>
      </c>
      <c r="B11" s="469" t="s">
        <v>937</v>
      </c>
      <c r="C11" s="469" t="s">
        <v>1483</v>
      </c>
      <c r="D11" s="469" t="s">
        <v>937</v>
      </c>
      <c r="E11" s="474" t="s">
        <v>978</v>
      </c>
    </row>
    <row r="12" spans="1:5" ht="13.5" thickBot="1" x14ac:dyDescent="0.2">
      <c r="A12" s="473" t="s">
        <v>1484</v>
      </c>
      <c r="B12" s="469" t="s">
        <v>937</v>
      </c>
      <c r="C12" s="469" t="s">
        <v>1485</v>
      </c>
      <c r="D12" s="469" t="s">
        <v>937</v>
      </c>
      <c r="E12" s="474" t="s">
        <v>978</v>
      </c>
    </row>
    <row r="13" spans="1:5" ht="25.5" thickBot="1" x14ac:dyDescent="0.2">
      <c r="A13" s="473" t="s">
        <v>1486</v>
      </c>
      <c r="B13" s="469" t="s">
        <v>1151</v>
      </c>
      <c r="C13" s="469" t="s">
        <v>1140</v>
      </c>
      <c r="D13" s="469" t="s">
        <v>930</v>
      </c>
      <c r="E13" s="474" t="s">
        <v>927</v>
      </c>
    </row>
    <row r="14" spans="1:5" ht="25.5" thickBot="1" x14ac:dyDescent="0.2">
      <c r="A14" s="473" t="s">
        <v>1487</v>
      </c>
      <c r="B14" s="469" t="s">
        <v>924</v>
      </c>
      <c r="C14" s="469" t="s">
        <v>1488</v>
      </c>
      <c r="D14" s="469" t="s">
        <v>931</v>
      </c>
      <c r="E14" s="474" t="s">
        <v>927</v>
      </c>
    </row>
    <row r="15" spans="1:5" ht="25.5" thickBot="1" x14ac:dyDescent="0.2">
      <c r="A15" s="473" t="s">
        <v>1489</v>
      </c>
      <c r="B15" s="469" t="s">
        <v>1092</v>
      </c>
      <c r="C15" s="469" t="s">
        <v>1187</v>
      </c>
      <c r="D15" s="469" t="s">
        <v>959</v>
      </c>
      <c r="E15" s="474" t="s">
        <v>927</v>
      </c>
    </row>
    <row r="16" spans="1:5" ht="25.5" thickBot="1" x14ac:dyDescent="0.2">
      <c r="A16" s="473" t="s">
        <v>1490</v>
      </c>
      <c r="B16" s="469" t="s">
        <v>937</v>
      </c>
      <c r="C16" s="469" t="s">
        <v>1491</v>
      </c>
      <c r="D16" s="469" t="s">
        <v>937</v>
      </c>
      <c r="E16" s="474" t="s">
        <v>978</v>
      </c>
    </row>
    <row r="17" spans="1:5" ht="13.5" thickBot="1" x14ac:dyDescent="0.2">
      <c r="A17" s="475" t="s">
        <v>1492</v>
      </c>
      <c r="B17" s="476" t="s">
        <v>959</v>
      </c>
      <c r="C17" s="476" t="s">
        <v>926</v>
      </c>
      <c r="D17" s="476" t="s">
        <v>951</v>
      </c>
      <c r="E17" s="477" t="s">
        <v>927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6"/>
  <sheetViews>
    <sheetView topLeftCell="A21" workbookViewId="0">
      <selection activeCell="I13" sqref="I13"/>
    </sheetView>
  </sheetViews>
  <sheetFormatPr defaultRowHeight="12.75" x14ac:dyDescent="0.15"/>
  <cols>
    <col min="1" max="1" width="33.0390625" customWidth="1"/>
    <col min="2" max="2" width="12.67578125" customWidth="1"/>
  </cols>
  <sheetData>
    <row r="1" spans="1:5" ht="15" thickBot="1" x14ac:dyDescent="0.2">
      <c r="A1" s="480" t="s">
        <v>1493</v>
      </c>
    </row>
    <row r="2" spans="1:5" ht="15.75" thickBot="1" x14ac:dyDescent="0.25">
      <c r="A2" s="470" t="s">
        <v>913</v>
      </c>
      <c r="B2" s="507" t="s">
        <v>914</v>
      </c>
      <c r="C2" s="507" t="s">
        <v>915</v>
      </c>
      <c r="D2" s="507" t="s">
        <v>916</v>
      </c>
      <c r="E2" s="508" t="s">
        <v>917</v>
      </c>
    </row>
    <row r="3" spans="1:5" ht="13.5" thickBot="1" x14ac:dyDescent="0.2">
      <c r="A3" s="499" t="s">
        <v>1494</v>
      </c>
      <c r="B3" s="506" t="s">
        <v>953</v>
      </c>
      <c r="C3" s="506" t="s">
        <v>937</v>
      </c>
      <c r="D3" s="506" t="s">
        <v>965</v>
      </c>
      <c r="E3" s="500" t="s">
        <v>1437</v>
      </c>
    </row>
    <row r="4" spans="1:5" ht="25.5" thickBot="1" x14ac:dyDescent="0.2">
      <c r="A4" s="499" t="s">
        <v>1495</v>
      </c>
      <c r="B4" s="506" t="s">
        <v>937</v>
      </c>
      <c r="C4" s="506" t="s">
        <v>924</v>
      </c>
      <c r="D4" s="506" t="s">
        <v>937</v>
      </c>
      <c r="E4" s="500" t="s">
        <v>1437</v>
      </c>
    </row>
    <row r="5" spans="1:5" ht="13.5" thickBot="1" x14ac:dyDescent="0.2">
      <c r="A5" s="499" t="s">
        <v>1496</v>
      </c>
      <c r="B5" s="506" t="s">
        <v>937</v>
      </c>
      <c r="C5" s="506" t="s">
        <v>1377</v>
      </c>
      <c r="D5" s="506" t="s">
        <v>937</v>
      </c>
      <c r="E5" s="500" t="s">
        <v>1437</v>
      </c>
    </row>
    <row r="6" spans="1:5" ht="13.5" thickBot="1" x14ac:dyDescent="0.2">
      <c r="A6" s="509" t="s">
        <v>1497</v>
      </c>
      <c r="B6" s="510" t="s">
        <v>937</v>
      </c>
      <c r="C6" s="510" t="s">
        <v>944</v>
      </c>
      <c r="D6" s="510" t="s">
        <v>937</v>
      </c>
      <c r="E6" s="511" t="s">
        <v>1437</v>
      </c>
    </row>
    <row r="7" spans="1:5" x14ac:dyDescent="0.15">
      <c r="A7" s="530"/>
    </row>
    <row r="8" spans="1:5" ht="15" thickBot="1" x14ac:dyDescent="0.2">
      <c r="A8" s="480" t="s">
        <v>1498</v>
      </c>
    </row>
    <row r="9" spans="1:5" ht="15.75" thickBot="1" x14ac:dyDescent="0.25">
      <c r="A9" s="470" t="s">
        <v>913</v>
      </c>
      <c r="B9" s="471" t="s">
        <v>914</v>
      </c>
      <c r="C9" s="471" t="s">
        <v>915</v>
      </c>
      <c r="D9" s="471" t="s">
        <v>916</v>
      </c>
      <c r="E9" s="472" t="s">
        <v>917</v>
      </c>
    </row>
    <row r="10" spans="1:5" ht="13.5" thickBot="1" x14ac:dyDescent="0.2">
      <c r="A10" s="473" t="s">
        <v>1499</v>
      </c>
      <c r="B10" s="469" t="s">
        <v>937</v>
      </c>
      <c r="C10" s="469" t="s">
        <v>1313</v>
      </c>
      <c r="D10" s="469" t="s">
        <v>937</v>
      </c>
      <c r="E10" s="474" t="s">
        <v>927</v>
      </c>
    </row>
    <row r="11" spans="1:5" ht="13.5" thickBot="1" x14ac:dyDescent="0.2">
      <c r="A11" s="473" t="s">
        <v>1500</v>
      </c>
      <c r="B11" s="469" t="s">
        <v>937</v>
      </c>
      <c r="C11" s="469" t="s">
        <v>939</v>
      </c>
      <c r="D11" s="469" t="s">
        <v>937</v>
      </c>
      <c r="E11" s="474" t="s">
        <v>927</v>
      </c>
    </row>
    <row r="12" spans="1:5" ht="13.5" thickBot="1" x14ac:dyDescent="0.2">
      <c r="A12" s="473" t="s">
        <v>1501</v>
      </c>
      <c r="B12" s="469" t="s">
        <v>937</v>
      </c>
      <c r="C12" s="469" t="s">
        <v>965</v>
      </c>
      <c r="D12" s="469" t="s">
        <v>1256</v>
      </c>
      <c r="E12" s="474" t="s">
        <v>927</v>
      </c>
    </row>
    <row r="13" spans="1:5" ht="13.5" thickBot="1" x14ac:dyDescent="0.2">
      <c r="A13" s="473" t="s">
        <v>1472</v>
      </c>
      <c r="B13" s="469" t="s">
        <v>937</v>
      </c>
      <c r="C13" s="469" t="s">
        <v>930</v>
      </c>
      <c r="D13" s="469" t="s">
        <v>959</v>
      </c>
      <c r="E13" s="474" t="s">
        <v>927</v>
      </c>
    </row>
    <row r="14" spans="1:5" ht="25.5" thickBot="1" x14ac:dyDescent="0.2">
      <c r="A14" s="473" t="s">
        <v>1502</v>
      </c>
      <c r="B14" s="469" t="s">
        <v>937</v>
      </c>
      <c r="C14" s="469" t="s">
        <v>941</v>
      </c>
      <c r="D14" s="469" t="s">
        <v>929</v>
      </c>
      <c r="E14" s="474" t="s">
        <v>927</v>
      </c>
    </row>
    <row r="15" spans="1:5" ht="25.5" thickBot="1" x14ac:dyDescent="0.2">
      <c r="A15" s="473" t="s">
        <v>1503</v>
      </c>
      <c r="B15" s="469" t="s">
        <v>937</v>
      </c>
      <c r="C15" s="469" t="s">
        <v>959</v>
      </c>
      <c r="D15" s="469" t="s">
        <v>970</v>
      </c>
      <c r="E15" s="474" t="s">
        <v>927</v>
      </c>
    </row>
    <row r="16" spans="1:5" ht="13.5" thickBot="1" x14ac:dyDescent="0.2">
      <c r="A16" s="473" t="s">
        <v>1504</v>
      </c>
      <c r="B16" s="469" t="s">
        <v>937</v>
      </c>
      <c r="C16" s="469" t="s">
        <v>951</v>
      </c>
      <c r="D16" s="469" t="s">
        <v>937</v>
      </c>
      <c r="E16" s="474" t="s">
        <v>927</v>
      </c>
    </row>
    <row r="17" spans="1:5" ht="13.5" thickBot="1" x14ac:dyDescent="0.2">
      <c r="A17" s="473" t="s">
        <v>1505</v>
      </c>
      <c r="B17" s="469" t="s">
        <v>937</v>
      </c>
      <c r="C17" s="469" t="s">
        <v>1313</v>
      </c>
      <c r="D17" s="469" t="s">
        <v>1094</v>
      </c>
      <c r="E17" s="474" t="s">
        <v>927</v>
      </c>
    </row>
    <row r="18" spans="1:5" ht="13.5" thickBot="1" x14ac:dyDescent="0.2">
      <c r="A18" s="473" t="s">
        <v>1506</v>
      </c>
      <c r="B18" s="469" t="s">
        <v>937</v>
      </c>
      <c r="C18" s="469" t="s">
        <v>1097</v>
      </c>
      <c r="D18" s="469" t="s">
        <v>1158</v>
      </c>
      <c r="E18" s="474" t="s">
        <v>927</v>
      </c>
    </row>
    <row r="19" spans="1:5" ht="13.5" thickBot="1" x14ac:dyDescent="0.2">
      <c r="A19" s="473" t="s">
        <v>1507</v>
      </c>
      <c r="B19" s="469" t="s">
        <v>937</v>
      </c>
      <c r="C19" s="469" t="s">
        <v>930</v>
      </c>
      <c r="D19" s="469" t="s">
        <v>931</v>
      </c>
      <c r="E19" s="474" t="s">
        <v>927</v>
      </c>
    </row>
    <row r="20" spans="1:5" ht="13.5" thickBot="1" x14ac:dyDescent="0.2">
      <c r="A20" s="473" t="s">
        <v>1508</v>
      </c>
      <c r="B20" s="469" t="s">
        <v>937</v>
      </c>
      <c r="C20" s="469" t="s">
        <v>1313</v>
      </c>
      <c r="D20" s="469" t="s">
        <v>937</v>
      </c>
      <c r="E20" s="474" t="s">
        <v>927</v>
      </c>
    </row>
    <row r="21" spans="1:5" ht="13.5" thickBot="1" x14ac:dyDescent="0.2">
      <c r="A21" s="473" t="s">
        <v>1509</v>
      </c>
      <c r="B21" s="469" t="s">
        <v>937</v>
      </c>
      <c r="C21" s="469" t="s">
        <v>1158</v>
      </c>
      <c r="D21" s="469" t="s">
        <v>934</v>
      </c>
      <c r="E21" s="474" t="s">
        <v>927</v>
      </c>
    </row>
    <row r="22" spans="1:5" ht="13.5" thickBot="1" x14ac:dyDescent="0.2">
      <c r="A22" s="473" t="s">
        <v>1510</v>
      </c>
      <c r="B22" s="469" t="s">
        <v>937</v>
      </c>
      <c r="C22" s="469" t="s">
        <v>956</v>
      </c>
      <c r="D22" s="469" t="s">
        <v>1089</v>
      </c>
      <c r="E22" s="474" t="s">
        <v>927</v>
      </c>
    </row>
    <row r="23" spans="1:5" ht="13.5" thickBot="1" x14ac:dyDescent="0.2">
      <c r="A23" s="473" t="s">
        <v>1511</v>
      </c>
      <c r="B23" s="469" t="s">
        <v>937</v>
      </c>
      <c r="C23" s="469" t="s">
        <v>925</v>
      </c>
      <c r="D23" s="469" t="s">
        <v>970</v>
      </c>
      <c r="E23" s="474" t="s">
        <v>927</v>
      </c>
    </row>
    <row r="24" spans="1:5" ht="25.5" thickBot="1" x14ac:dyDescent="0.2">
      <c r="A24" s="473" t="s">
        <v>1512</v>
      </c>
      <c r="B24" s="469" t="s">
        <v>937</v>
      </c>
      <c r="C24" s="469" t="s">
        <v>971</v>
      </c>
      <c r="D24" s="469" t="s">
        <v>1248</v>
      </c>
      <c r="E24" s="474" t="s">
        <v>927</v>
      </c>
    </row>
    <row r="25" spans="1:5" ht="25.5" thickBot="1" x14ac:dyDescent="0.2">
      <c r="A25" s="473" t="s">
        <v>1513</v>
      </c>
      <c r="B25" s="469" t="s">
        <v>937</v>
      </c>
      <c r="C25" s="469" t="s">
        <v>1349</v>
      </c>
      <c r="D25" s="469" t="s">
        <v>1220</v>
      </c>
      <c r="E25" s="474" t="s">
        <v>927</v>
      </c>
    </row>
    <row r="26" spans="1:5" ht="13.5" thickBot="1" x14ac:dyDescent="0.2">
      <c r="A26" s="475" t="s">
        <v>1514</v>
      </c>
      <c r="B26" s="476" t="s">
        <v>937</v>
      </c>
      <c r="C26" s="476" t="s">
        <v>1173</v>
      </c>
      <c r="D26" s="476" t="s">
        <v>1515</v>
      </c>
      <c r="E26" s="477" t="s">
        <v>927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E10"/>
  <sheetViews>
    <sheetView topLeftCell="A8" workbookViewId="0">
      <selection activeCell="A4" sqref="A4"/>
    </sheetView>
  </sheetViews>
  <sheetFormatPr defaultRowHeight="12.75" x14ac:dyDescent="0.15"/>
  <cols>
    <col min="1" max="1" width="45.30859375" customWidth="1"/>
  </cols>
  <sheetData>
    <row r="2" spans="1:5" ht="13.5" thickBot="1" x14ac:dyDescent="0.2"/>
    <row r="3" spans="1:5" ht="15.75" thickBot="1" x14ac:dyDescent="0.25">
      <c r="A3" s="470" t="s">
        <v>913</v>
      </c>
      <c r="B3" s="471" t="s">
        <v>914</v>
      </c>
      <c r="C3" s="471" t="s">
        <v>915</v>
      </c>
      <c r="D3" s="471" t="s">
        <v>916</v>
      </c>
      <c r="E3" s="472" t="s">
        <v>917</v>
      </c>
    </row>
    <row r="4" spans="1:5" ht="13.5" thickBot="1" x14ac:dyDescent="0.2">
      <c r="A4" s="473" t="s">
        <v>1516</v>
      </c>
      <c r="B4" s="469" t="s">
        <v>937</v>
      </c>
      <c r="C4" s="469" t="s">
        <v>1517</v>
      </c>
      <c r="D4" s="469" t="s">
        <v>937</v>
      </c>
      <c r="E4" s="474" t="s">
        <v>1386</v>
      </c>
    </row>
    <row r="5" spans="1:5" ht="13.5" thickBot="1" x14ac:dyDescent="0.2">
      <c r="A5" s="473" t="s">
        <v>1518</v>
      </c>
      <c r="B5" s="469" t="s">
        <v>937</v>
      </c>
      <c r="C5" s="469" t="s">
        <v>1404</v>
      </c>
      <c r="D5" s="469" t="s">
        <v>937</v>
      </c>
      <c r="E5" s="474" t="s">
        <v>1386</v>
      </c>
    </row>
    <row r="6" spans="1:5" ht="13.5" thickBot="1" x14ac:dyDescent="0.2">
      <c r="A6" s="473" t="s">
        <v>1519</v>
      </c>
      <c r="B6" s="469" t="s">
        <v>937</v>
      </c>
      <c r="C6" s="469" t="s">
        <v>1406</v>
      </c>
      <c r="D6" s="469" t="s">
        <v>937</v>
      </c>
      <c r="E6" s="474" t="s">
        <v>1386</v>
      </c>
    </row>
    <row r="7" spans="1:5" ht="13.5" thickBot="1" x14ac:dyDescent="0.2">
      <c r="A7" s="473" t="s">
        <v>1520</v>
      </c>
      <c r="B7" s="469" t="s">
        <v>937</v>
      </c>
      <c r="C7" s="469" t="s">
        <v>1435</v>
      </c>
      <c r="D7" s="469" t="s">
        <v>937</v>
      </c>
      <c r="E7" s="474" t="s">
        <v>1386</v>
      </c>
    </row>
    <row r="8" spans="1:5" ht="13.5" thickBot="1" x14ac:dyDescent="0.2">
      <c r="A8" s="473" t="s">
        <v>1521</v>
      </c>
      <c r="B8" s="469" t="s">
        <v>937</v>
      </c>
      <c r="C8" s="469" t="s">
        <v>1091</v>
      </c>
      <c r="D8" s="469" t="s">
        <v>937</v>
      </c>
      <c r="E8" s="474" t="s">
        <v>927</v>
      </c>
    </row>
    <row r="9" spans="1:5" ht="13.5" thickBot="1" x14ac:dyDescent="0.2">
      <c r="A9" s="473" t="s">
        <v>1522</v>
      </c>
      <c r="B9" s="469" t="s">
        <v>937</v>
      </c>
      <c r="C9" s="469" t="s">
        <v>929</v>
      </c>
      <c r="D9" s="469" t="s">
        <v>937</v>
      </c>
      <c r="E9" s="474" t="s">
        <v>927</v>
      </c>
    </row>
    <row r="10" spans="1:5" ht="13.5" thickBot="1" x14ac:dyDescent="0.2">
      <c r="A10" s="475" t="s">
        <v>1523</v>
      </c>
      <c r="B10" s="476" t="s">
        <v>937</v>
      </c>
      <c r="C10" s="476" t="s">
        <v>1107</v>
      </c>
      <c r="D10" s="476" t="s">
        <v>937</v>
      </c>
      <c r="E10" s="477" t="s">
        <v>1386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67"/>
  <sheetViews>
    <sheetView topLeftCell="A47" workbookViewId="0">
      <selection activeCell="B9" sqref="B9"/>
    </sheetView>
  </sheetViews>
  <sheetFormatPr defaultRowHeight="12.75" x14ac:dyDescent="0.15"/>
  <cols>
    <col min="1" max="1" width="39.9140625" customWidth="1"/>
    <col min="2" max="2" width="17.80078125" customWidth="1"/>
    <col min="4" max="4" width="13.75390625" customWidth="1"/>
  </cols>
  <sheetData>
    <row r="1" spans="1:5" ht="18" x14ac:dyDescent="0.2">
      <c r="A1" s="478" t="s">
        <v>1524</v>
      </c>
    </row>
    <row r="2" spans="1:5" ht="13.5" thickBot="1" x14ac:dyDescent="0.2"/>
    <row r="3" spans="1:5" ht="15.75" thickBot="1" x14ac:dyDescent="0.25">
      <c r="A3" s="470" t="s">
        <v>913</v>
      </c>
      <c r="B3" s="471" t="s">
        <v>914</v>
      </c>
      <c r="C3" s="471" t="s">
        <v>915</v>
      </c>
      <c r="D3" s="471" t="s">
        <v>916</v>
      </c>
      <c r="E3" s="472" t="s">
        <v>917</v>
      </c>
    </row>
    <row r="4" spans="1:5" ht="25.5" thickBot="1" x14ac:dyDescent="0.2">
      <c r="A4" s="532" t="s">
        <v>1525</v>
      </c>
      <c r="B4" s="531" t="s">
        <v>937</v>
      </c>
      <c r="C4" s="531" t="s">
        <v>1094</v>
      </c>
      <c r="D4" s="531" t="s">
        <v>937</v>
      </c>
      <c r="E4" s="533" t="s">
        <v>927</v>
      </c>
    </row>
    <row r="5" spans="1:5" ht="13.5" thickBot="1" x14ac:dyDescent="0.2">
      <c r="A5" s="532" t="s">
        <v>1526</v>
      </c>
      <c r="B5" s="531" t="s">
        <v>937</v>
      </c>
      <c r="C5" s="531" t="s">
        <v>1094</v>
      </c>
      <c r="D5" s="531" t="s">
        <v>937</v>
      </c>
      <c r="E5" s="533" t="s">
        <v>927</v>
      </c>
    </row>
    <row r="6" spans="1:5" ht="13.5" thickBot="1" x14ac:dyDescent="0.2">
      <c r="A6" s="532" t="s">
        <v>1527</v>
      </c>
      <c r="B6" s="531" t="s">
        <v>937</v>
      </c>
      <c r="C6" s="531" t="s">
        <v>1089</v>
      </c>
      <c r="D6" s="531" t="s">
        <v>937</v>
      </c>
      <c r="E6" s="533" t="s">
        <v>927</v>
      </c>
    </row>
    <row r="7" spans="1:5" ht="13.5" thickBot="1" x14ac:dyDescent="0.2">
      <c r="A7" s="534" t="s">
        <v>1528</v>
      </c>
      <c r="B7" s="535" t="s">
        <v>937</v>
      </c>
      <c r="C7" s="535" t="s">
        <v>1101</v>
      </c>
      <c r="D7" s="535" t="s">
        <v>937</v>
      </c>
      <c r="E7" s="536" t="s">
        <v>927</v>
      </c>
    </row>
    <row r="9" spans="1:5" ht="18" x14ac:dyDescent="0.15">
      <c r="A9" s="541" t="s">
        <v>1581</v>
      </c>
    </row>
    <row r="11" spans="1:5" ht="27.75" x14ac:dyDescent="0.2">
      <c r="A11" s="463" t="s">
        <v>742</v>
      </c>
      <c r="B11" s="463"/>
      <c r="C11" s="463" t="s">
        <v>882</v>
      </c>
      <c r="D11" s="463" t="s">
        <v>883</v>
      </c>
      <c r="E11" s="463" t="s">
        <v>884</v>
      </c>
    </row>
    <row r="12" spans="1:5" ht="13.5" thickBot="1" x14ac:dyDescent="0.2">
      <c r="A12" s="537" t="s">
        <v>1529</v>
      </c>
      <c r="B12" s="538"/>
      <c r="C12" s="538"/>
      <c r="D12" s="539"/>
      <c r="E12" s="540"/>
    </row>
    <row r="13" spans="1:5" ht="13.5" thickBot="1" x14ac:dyDescent="0.2">
      <c r="A13" s="537"/>
      <c r="B13" s="538" t="s">
        <v>6</v>
      </c>
      <c r="C13" s="538" t="s">
        <v>84</v>
      </c>
      <c r="D13" s="539">
        <v>0.2</v>
      </c>
      <c r="E13" s="540"/>
    </row>
    <row r="14" spans="1:5" ht="13.5" thickBot="1" x14ac:dyDescent="0.2">
      <c r="A14" s="537"/>
      <c r="B14" s="538" t="s">
        <v>1530</v>
      </c>
      <c r="C14" s="538" t="s">
        <v>84</v>
      </c>
      <c r="D14" s="539">
        <v>0.25</v>
      </c>
      <c r="E14" s="540"/>
    </row>
    <row r="15" spans="1:5" ht="25.5" thickBot="1" x14ac:dyDescent="0.2">
      <c r="A15" s="537"/>
      <c r="B15" s="538" t="s">
        <v>1531</v>
      </c>
      <c r="C15" s="538" t="s">
        <v>84</v>
      </c>
      <c r="D15" s="539">
        <v>0.23</v>
      </c>
      <c r="E15" s="540"/>
    </row>
    <row r="16" spans="1:5" ht="13.5" thickBot="1" x14ac:dyDescent="0.2">
      <c r="A16" s="537" t="s">
        <v>1532</v>
      </c>
      <c r="B16" s="538"/>
      <c r="C16" s="538"/>
      <c r="D16" s="538"/>
      <c r="E16" s="540"/>
    </row>
    <row r="17" spans="1:5" ht="13.5" thickBot="1" x14ac:dyDescent="0.2">
      <c r="A17" s="537"/>
      <c r="B17" s="538" t="s">
        <v>6</v>
      </c>
      <c r="C17" s="538" t="s">
        <v>84</v>
      </c>
      <c r="D17" s="539">
        <v>0.3</v>
      </c>
      <c r="E17" s="540"/>
    </row>
    <row r="18" spans="1:5" ht="13.5" thickBot="1" x14ac:dyDescent="0.2">
      <c r="A18" s="537"/>
      <c r="B18" s="538" t="s">
        <v>1530</v>
      </c>
      <c r="C18" s="538" t="s">
        <v>84</v>
      </c>
      <c r="D18" s="539">
        <v>0.32</v>
      </c>
      <c r="E18" s="540"/>
    </row>
    <row r="19" spans="1:5" ht="25.5" thickBot="1" x14ac:dyDescent="0.2">
      <c r="A19" s="537"/>
      <c r="B19" s="538" t="s">
        <v>1531</v>
      </c>
      <c r="C19" s="538" t="s">
        <v>84</v>
      </c>
      <c r="D19" s="539">
        <v>0.3</v>
      </c>
      <c r="E19" s="540"/>
    </row>
    <row r="20" spans="1:5" ht="37.5" thickBot="1" x14ac:dyDescent="0.2">
      <c r="A20" s="537"/>
      <c r="B20" s="538" t="s">
        <v>1533</v>
      </c>
      <c r="C20" s="538" t="s">
        <v>84</v>
      </c>
      <c r="D20" s="539">
        <v>0.18</v>
      </c>
      <c r="E20" s="540"/>
    </row>
    <row r="21" spans="1:5" ht="13.5" thickBot="1" x14ac:dyDescent="0.2">
      <c r="A21" s="537"/>
      <c r="B21" s="538" t="s">
        <v>1534</v>
      </c>
      <c r="C21" s="538"/>
      <c r="D21" s="538"/>
      <c r="E21" s="540"/>
    </row>
    <row r="22" spans="1:5" ht="37.5" thickBot="1" x14ac:dyDescent="0.2">
      <c r="A22" s="537"/>
      <c r="B22" s="538" t="s">
        <v>1535</v>
      </c>
      <c r="C22" s="538" t="s">
        <v>84</v>
      </c>
      <c r="D22" s="539">
        <v>0.2</v>
      </c>
      <c r="E22" s="540"/>
    </row>
    <row r="23" spans="1:5" ht="13.5" thickBot="1" x14ac:dyDescent="0.2">
      <c r="A23" s="537"/>
      <c r="B23" s="538" t="s">
        <v>1536</v>
      </c>
      <c r="C23" s="538"/>
      <c r="D23" s="538"/>
      <c r="E23" s="540"/>
    </row>
    <row r="24" spans="1:5" ht="37.5" thickBot="1" x14ac:dyDescent="0.2">
      <c r="A24" s="537"/>
      <c r="B24" s="538" t="s">
        <v>1537</v>
      </c>
      <c r="C24" s="538"/>
      <c r="D24" s="538"/>
      <c r="E24" s="540"/>
    </row>
    <row r="25" spans="1:5" ht="13.5" thickBot="1" x14ac:dyDescent="0.2">
      <c r="A25" s="537" t="s">
        <v>1538</v>
      </c>
      <c r="B25" s="538"/>
      <c r="C25" s="538"/>
      <c r="D25" s="538"/>
      <c r="E25" s="540"/>
    </row>
    <row r="26" spans="1:5" ht="13.5" thickBot="1" x14ac:dyDescent="0.2">
      <c r="A26" s="537"/>
      <c r="B26" s="538" t="s">
        <v>1539</v>
      </c>
      <c r="C26" s="538" t="s">
        <v>84</v>
      </c>
      <c r="D26" s="539">
        <v>0.34</v>
      </c>
      <c r="E26" s="540"/>
    </row>
    <row r="27" spans="1:5" ht="13.5" thickBot="1" x14ac:dyDescent="0.2">
      <c r="A27" s="537"/>
      <c r="B27" s="538" t="s">
        <v>6</v>
      </c>
      <c r="C27" s="538" t="s">
        <v>84</v>
      </c>
      <c r="D27" s="539">
        <v>0.3</v>
      </c>
      <c r="E27" s="540"/>
    </row>
    <row r="28" spans="1:5" ht="14.25" x14ac:dyDescent="0.15">
      <c r="A28" s="468"/>
    </row>
    <row r="29" spans="1:5" ht="15" thickBot="1" x14ac:dyDescent="0.2">
      <c r="A29" s="468"/>
    </row>
    <row r="30" spans="1:5" ht="15.75" thickBot="1" x14ac:dyDescent="0.25">
      <c r="A30" s="496" t="s">
        <v>913</v>
      </c>
      <c r="B30" s="507" t="s">
        <v>914</v>
      </c>
      <c r="C30" s="507" t="s">
        <v>915</v>
      </c>
      <c r="D30" s="507" t="s">
        <v>916</v>
      </c>
      <c r="E30" s="508" t="s">
        <v>917</v>
      </c>
    </row>
    <row r="31" spans="1:5" ht="13.5" thickBot="1" x14ac:dyDescent="0.2">
      <c r="A31" s="524" t="s">
        <v>1540</v>
      </c>
      <c r="B31" s="522" t="s">
        <v>937</v>
      </c>
      <c r="C31" s="522" t="s">
        <v>1541</v>
      </c>
      <c r="D31" s="522" t="s">
        <v>937</v>
      </c>
      <c r="E31" s="525" t="s">
        <v>927</v>
      </c>
    </row>
    <row r="32" spans="1:5" ht="13.5" thickBot="1" x14ac:dyDescent="0.2">
      <c r="A32" s="524" t="s">
        <v>1542</v>
      </c>
      <c r="B32" s="522" t="s">
        <v>937</v>
      </c>
      <c r="C32" s="522" t="s">
        <v>1543</v>
      </c>
      <c r="D32" s="522" t="s">
        <v>937</v>
      </c>
      <c r="E32" s="525" t="s">
        <v>927</v>
      </c>
    </row>
    <row r="33" spans="1:5" ht="13.5" thickBot="1" x14ac:dyDescent="0.2">
      <c r="A33" s="524" t="s">
        <v>1544</v>
      </c>
      <c r="B33" s="522" t="s">
        <v>937</v>
      </c>
      <c r="C33" s="522" t="s">
        <v>1107</v>
      </c>
      <c r="D33" s="522" t="s">
        <v>937</v>
      </c>
      <c r="E33" s="525" t="s">
        <v>922</v>
      </c>
    </row>
    <row r="34" spans="1:5" ht="13.5" thickBot="1" x14ac:dyDescent="0.2">
      <c r="A34" s="524" t="s">
        <v>1545</v>
      </c>
      <c r="B34" s="522" t="s">
        <v>937</v>
      </c>
      <c r="C34" s="522" t="s">
        <v>929</v>
      </c>
      <c r="D34" s="522" t="s">
        <v>937</v>
      </c>
      <c r="E34" s="525" t="s">
        <v>927</v>
      </c>
    </row>
    <row r="35" spans="1:5" ht="25.5" thickBot="1" x14ac:dyDescent="0.2">
      <c r="A35" s="524" t="s">
        <v>1546</v>
      </c>
      <c r="B35" s="522" t="s">
        <v>937</v>
      </c>
      <c r="C35" s="522" t="s">
        <v>935</v>
      </c>
      <c r="D35" s="522" t="s">
        <v>937</v>
      </c>
      <c r="E35" s="525" t="s">
        <v>927</v>
      </c>
    </row>
    <row r="36" spans="1:5" ht="25.5" thickBot="1" x14ac:dyDescent="0.2">
      <c r="A36" s="524" t="s">
        <v>1547</v>
      </c>
      <c r="B36" s="522" t="s">
        <v>937</v>
      </c>
      <c r="C36" s="522" t="s">
        <v>1104</v>
      </c>
      <c r="D36" s="522" t="s">
        <v>937</v>
      </c>
      <c r="E36" s="525" t="s">
        <v>922</v>
      </c>
    </row>
    <row r="37" spans="1:5" ht="25.5" thickBot="1" x14ac:dyDescent="0.2">
      <c r="A37" s="524" t="s">
        <v>1548</v>
      </c>
      <c r="B37" s="522" t="s">
        <v>937</v>
      </c>
      <c r="C37" s="522" t="s">
        <v>1092</v>
      </c>
      <c r="D37" s="522" t="s">
        <v>931</v>
      </c>
      <c r="E37" s="525" t="s">
        <v>927</v>
      </c>
    </row>
    <row r="38" spans="1:5" ht="25.5" thickBot="1" x14ac:dyDescent="0.2">
      <c r="A38" s="524" t="s">
        <v>1549</v>
      </c>
      <c r="B38" s="522" t="s">
        <v>937</v>
      </c>
      <c r="C38" s="522" t="s">
        <v>1313</v>
      </c>
      <c r="D38" s="522" t="s">
        <v>1100</v>
      </c>
      <c r="E38" s="525" t="s">
        <v>927</v>
      </c>
    </row>
    <row r="39" spans="1:5" ht="13.5" thickBot="1" x14ac:dyDescent="0.2">
      <c r="A39" s="524" t="s">
        <v>1550</v>
      </c>
      <c r="B39" s="522" t="s">
        <v>937</v>
      </c>
      <c r="C39" s="522" t="s">
        <v>1097</v>
      </c>
      <c r="D39" s="522" t="s">
        <v>937</v>
      </c>
      <c r="E39" s="525" t="s">
        <v>927</v>
      </c>
    </row>
    <row r="40" spans="1:5" ht="13.5" thickBot="1" x14ac:dyDescent="0.2">
      <c r="A40" s="524" t="s">
        <v>1551</v>
      </c>
      <c r="B40" s="522" t="s">
        <v>937</v>
      </c>
      <c r="C40" s="522" t="s">
        <v>959</v>
      </c>
      <c r="D40" s="522" t="s">
        <v>937</v>
      </c>
      <c r="E40" s="525" t="s">
        <v>927</v>
      </c>
    </row>
    <row r="41" spans="1:5" ht="25.5" thickBot="1" x14ac:dyDescent="0.2">
      <c r="A41" s="524" t="s">
        <v>1552</v>
      </c>
      <c r="B41" s="522" t="s">
        <v>937</v>
      </c>
      <c r="C41" s="522" t="s">
        <v>939</v>
      </c>
      <c r="D41" s="522" t="s">
        <v>937</v>
      </c>
      <c r="E41" s="525" t="s">
        <v>927</v>
      </c>
    </row>
    <row r="42" spans="1:5" ht="13.5" thickBot="1" x14ac:dyDescent="0.2">
      <c r="A42" s="524" t="s">
        <v>1553</v>
      </c>
      <c r="B42" s="522" t="s">
        <v>937</v>
      </c>
      <c r="C42" s="522" t="s">
        <v>1163</v>
      </c>
      <c r="D42" s="522" t="s">
        <v>937</v>
      </c>
      <c r="E42" s="525" t="s">
        <v>927</v>
      </c>
    </row>
    <row r="43" spans="1:5" ht="25.5" thickBot="1" x14ac:dyDescent="0.2">
      <c r="A43" s="524" t="s">
        <v>1554</v>
      </c>
      <c r="B43" s="522" t="s">
        <v>937</v>
      </c>
      <c r="C43" s="522" t="s">
        <v>930</v>
      </c>
      <c r="D43" s="522" t="s">
        <v>937</v>
      </c>
      <c r="E43" s="525" t="s">
        <v>927</v>
      </c>
    </row>
    <row r="44" spans="1:5" ht="25.5" thickBot="1" x14ac:dyDescent="0.2">
      <c r="A44" s="524" t="s">
        <v>1555</v>
      </c>
      <c r="B44" s="522" t="s">
        <v>937</v>
      </c>
      <c r="C44" s="522" t="s">
        <v>925</v>
      </c>
      <c r="D44" s="522" t="s">
        <v>937</v>
      </c>
      <c r="E44" s="525" t="s">
        <v>927</v>
      </c>
    </row>
    <row r="45" spans="1:5" ht="13.5" thickBot="1" x14ac:dyDescent="0.2">
      <c r="A45" s="524" t="s">
        <v>1556</v>
      </c>
      <c r="B45" s="522" t="s">
        <v>937</v>
      </c>
      <c r="C45" s="522" t="s">
        <v>1101</v>
      </c>
      <c r="D45" s="522" t="s">
        <v>937</v>
      </c>
      <c r="E45" s="525" t="s">
        <v>927</v>
      </c>
    </row>
    <row r="46" spans="1:5" ht="13.5" thickBot="1" x14ac:dyDescent="0.2">
      <c r="A46" s="524" t="s">
        <v>1557</v>
      </c>
      <c r="B46" s="522" t="s">
        <v>937</v>
      </c>
      <c r="C46" s="522" t="s">
        <v>925</v>
      </c>
      <c r="D46" s="522" t="s">
        <v>937</v>
      </c>
      <c r="E46" s="525" t="s">
        <v>927</v>
      </c>
    </row>
    <row r="47" spans="1:5" ht="13.5" thickBot="1" x14ac:dyDescent="0.2">
      <c r="A47" s="524" t="s">
        <v>1558</v>
      </c>
      <c r="B47" s="522" t="s">
        <v>937</v>
      </c>
      <c r="C47" s="522" t="s">
        <v>1265</v>
      </c>
      <c r="D47" s="522" t="s">
        <v>937</v>
      </c>
      <c r="E47" s="525" t="s">
        <v>927</v>
      </c>
    </row>
    <row r="48" spans="1:5" ht="25.5" thickBot="1" x14ac:dyDescent="0.2">
      <c r="A48" s="524" t="s">
        <v>1559</v>
      </c>
      <c r="B48" s="522" t="s">
        <v>937</v>
      </c>
      <c r="C48" s="522" t="s">
        <v>1449</v>
      </c>
      <c r="D48" s="522" t="s">
        <v>937</v>
      </c>
      <c r="E48" s="525" t="s">
        <v>927</v>
      </c>
    </row>
    <row r="49" spans="1:5" ht="25.5" thickBot="1" x14ac:dyDescent="0.2">
      <c r="A49" s="524" t="s">
        <v>1560</v>
      </c>
      <c r="B49" s="522" t="s">
        <v>937</v>
      </c>
      <c r="C49" s="522" t="s">
        <v>1449</v>
      </c>
      <c r="D49" s="522" t="s">
        <v>937</v>
      </c>
      <c r="E49" s="525" t="s">
        <v>927</v>
      </c>
    </row>
    <row r="50" spans="1:5" ht="25.5" thickBot="1" x14ac:dyDescent="0.2">
      <c r="A50" s="524" t="s">
        <v>1561</v>
      </c>
      <c r="B50" s="522" t="s">
        <v>937</v>
      </c>
      <c r="C50" s="522" t="s">
        <v>1169</v>
      </c>
      <c r="D50" s="522" t="s">
        <v>937</v>
      </c>
      <c r="E50" s="525" t="s">
        <v>927</v>
      </c>
    </row>
    <row r="51" spans="1:5" ht="25.5" thickBot="1" x14ac:dyDescent="0.2">
      <c r="A51" s="524" t="s">
        <v>1562</v>
      </c>
      <c r="B51" s="522" t="s">
        <v>937</v>
      </c>
      <c r="C51" s="522" t="s">
        <v>1212</v>
      </c>
      <c r="D51" s="522" t="s">
        <v>937</v>
      </c>
      <c r="E51" s="525" t="s">
        <v>927</v>
      </c>
    </row>
    <row r="52" spans="1:5" ht="13.5" thickBot="1" x14ac:dyDescent="0.2">
      <c r="A52" s="524" t="s">
        <v>1563</v>
      </c>
      <c r="B52" s="522" t="s">
        <v>937</v>
      </c>
      <c r="C52" s="522" t="s">
        <v>1104</v>
      </c>
      <c r="D52" s="522" t="s">
        <v>937</v>
      </c>
      <c r="E52" s="525" t="s">
        <v>922</v>
      </c>
    </row>
    <row r="53" spans="1:5" ht="13.5" thickBot="1" x14ac:dyDescent="0.2">
      <c r="A53" s="524" t="s">
        <v>1564</v>
      </c>
      <c r="B53" s="522" t="s">
        <v>937</v>
      </c>
      <c r="C53" s="522" t="s">
        <v>1565</v>
      </c>
      <c r="D53" s="522" t="s">
        <v>937</v>
      </c>
      <c r="E53" s="525" t="s">
        <v>922</v>
      </c>
    </row>
    <row r="54" spans="1:5" ht="13.5" thickBot="1" x14ac:dyDescent="0.2">
      <c r="A54" s="524" t="s">
        <v>1566</v>
      </c>
      <c r="B54" s="522" t="s">
        <v>937</v>
      </c>
      <c r="C54" s="522" t="s">
        <v>1567</v>
      </c>
      <c r="D54" s="522" t="s">
        <v>937</v>
      </c>
      <c r="E54" s="525" t="s">
        <v>927</v>
      </c>
    </row>
    <row r="55" spans="1:5" ht="13.5" thickBot="1" x14ac:dyDescent="0.2">
      <c r="A55" s="524" t="s">
        <v>1568</v>
      </c>
      <c r="B55" s="522" t="s">
        <v>937</v>
      </c>
      <c r="C55" s="522" t="s">
        <v>920</v>
      </c>
      <c r="D55" s="522" t="s">
        <v>937</v>
      </c>
      <c r="E55" s="525" t="s">
        <v>927</v>
      </c>
    </row>
    <row r="56" spans="1:5" ht="25.5" thickBot="1" x14ac:dyDescent="0.2">
      <c r="A56" s="524" t="s">
        <v>1569</v>
      </c>
      <c r="B56" s="522" t="s">
        <v>937</v>
      </c>
      <c r="C56" s="522" t="s">
        <v>926</v>
      </c>
      <c r="D56" s="522" t="s">
        <v>937</v>
      </c>
      <c r="E56" s="525" t="s">
        <v>927</v>
      </c>
    </row>
    <row r="57" spans="1:5" ht="25.5" thickBot="1" x14ac:dyDescent="0.2">
      <c r="A57" s="524" t="s">
        <v>1570</v>
      </c>
      <c r="B57" s="522" t="s">
        <v>937</v>
      </c>
      <c r="C57" s="522" t="s">
        <v>925</v>
      </c>
      <c r="D57" s="522" t="s">
        <v>937</v>
      </c>
      <c r="E57" s="525" t="s">
        <v>927</v>
      </c>
    </row>
    <row r="58" spans="1:5" ht="25.5" thickBot="1" x14ac:dyDescent="0.2">
      <c r="A58" s="524" t="s">
        <v>1571</v>
      </c>
      <c r="B58" s="522" t="s">
        <v>937</v>
      </c>
      <c r="C58" s="522" t="s">
        <v>925</v>
      </c>
      <c r="D58" s="522" t="s">
        <v>937</v>
      </c>
      <c r="E58" s="525" t="s">
        <v>927</v>
      </c>
    </row>
    <row r="59" spans="1:5" ht="25.5" thickBot="1" x14ac:dyDescent="0.2">
      <c r="A59" s="524" t="s">
        <v>1572</v>
      </c>
      <c r="B59" s="522" t="s">
        <v>937</v>
      </c>
      <c r="C59" s="522" t="s">
        <v>1092</v>
      </c>
      <c r="D59" s="522" t="s">
        <v>937</v>
      </c>
      <c r="E59" s="525" t="s">
        <v>927</v>
      </c>
    </row>
    <row r="60" spans="1:5" ht="13.5" thickBot="1" x14ac:dyDescent="0.2">
      <c r="A60" s="524" t="s">
        <v>1573</v>
      </c>
      <c r="B60" s="522" t="s">
        <v>937</v>
      </c>
      <c r="C60" s="522" t="s">
        <v>960</v>
      </c>
      <c r="D60" s="522" t="s">
        <v>937</v>
      </c>
      <c r="E60" s="525" t="s">
        <v>927</v>
      </c>
    </row>
    <row r="61" spans="1:5" ht="13.5" thickBot="1" x14ac:dyDescent="0.2">
      <c r="A61" s="524" t="s">
        <v>1574</v>
      </c>
      <c r="B61" s="522" t="s">
        <v>937</v>
      </c>
      <c r="C61" s="522" t="s">
        <v>934</v>
      </c>
      <c r="D61" s="522" t="s">
        <v>937</v>
      </c>
      <c r="E61" s="525" t="s">
        <v>927</v>
      </c>
    </row>
    <row r="62" spans="1:5" ht="13.5" thickBot="1" x14ac:dyDescent="0.2">
      <c r="A62" s="524" t="s">
        <v>1575</v>
      </c>
      <c r="B62" s="522" t="s">
        <v>937</v>
      </c>
      <c r="C62" s="522" t="s">
        <v>1094</v>
      </c>
      <c r="D62" s="522" t="s">
        <v>937</v>
      </c>
      <c r="E62" s="525" t="s">
        <v>927</v>
      </c>
    </row>
    <row r="63" spans="1:5" ht="13.5" thickBot="1" x14ac:dyDescent="0.2">
      <c r="A63" s="524" t="s">
        <v>1576</v>
      </c>
      <c r="B63" s="522" t="s">
        <v>937</v>
      </c>
      <c r="C63" s="522" t="s">
        <v>1089</v>
      </c>
      <c r="D63" s="522" t="s">
        <v>937</v>
      </c>
      <c r="E63" s="525" t="s">
        <v>927</v>
      </c>
    </row>
    <row r="64" spans="1:5" ht="13.5" thickBot="1" x14ac:dyDescent="0.2">
      <c r="A64" s="524" t="s">
        <v>1577</v>
      </c>
      <c r="B64" s="522" t="s">
        <v>937</v>
      </c>
      <c r="C64" s="522" t="s">
        <v>1248</v>
      </c>
      <c r="D64" s="522" t="s">
        <v>937</v>
      </c>
      <c r="E64" s="525" t="s">
        <v>927</v>
      </c>
    </row>
    <row r="65" spans="1:5" ht="25.5" thickBot="1" x14ac:dyDescent="0.2">
      <c r="A65" s="524" t="s">
        <v>1578</v>
      </c>
      <c r="B65" s="522" t="s">
        <v>1140</v>
      </c>
      <c r="C65" s="522" t="s">
        <v>1163</v>
      </c>
      <c r="D65" s="522" t="s">
        <v>937</v>
      </c>
      <c r="E65" s="525" t="s">
        <v>927</v>
      </c>
    </row>
    <row r="66" spans="1:5" ht="25.5" thickBot="1" x14ac:dyDescent="0.2">
      <c r="A66" s="524" t="s">
        <v>1579</v>
      </c>
      <c r="B66" s="522" t="s">
        <v>1054</v>
      </c>
      <c r="C66" s="522" t="s">
        <v>1092</v>
      </c>
      <c r="D66" s="522" t="s">
        <v>937</v>
      </c>
      <c r="E66" s="525" t="s">
        <v>927</v>
      </c>
    </row>
    <row r="67" spans="1:5" ht="25.5" thickBot="1" x14ac:dyDescent="0.2">
      <c r="A67" s="526" t="s">
        <v>1580</v>
      </c>
      <c r="B67" s="527" t="s">
        <v>937</v>
      </c>
      <c r="C67" s="527" t="s">
        <v>926</v>
      </c>
      <c r="D67" s="527" t="s">
        <v>937</v>
      </c>
      <c r="E67" s="528" t="s">
        <v>922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41"/>
  <sheetViews>
    <sheetView topLeftCell="A123" workbookViewId="0">
      <selection activeCell="E141" sqref="E141"/>
    </sheetView>
  </sheetViews>
  <sheetFormatPr defaultRowHeight="12.75" x14ac:dyDescent="0.15"/>
  <cols>
    <col min="1" max="1" width="37.62109375" customWidth="1"/>
    <col min="2" max="2" width="23.734375" customWidth="1"/>
    <col min="4" max="4" width="15.640625" customWidth="1"/>
  </cols>
  <sheetData>
    <row r="1" spans="1:5" ht="26.25" x14ac:dyDescent="0.15">
      <c r="A1" s="479" t="s">
        <v>1600</v>
      </c>
    </row>
    <row r="2" spans="1:5" ht="15" thickBot="1" x14ac:dyDescent="0.2">
      <c r="A2" s="480"/>
    </row>
    <row r="3" spans="1:5" ht="28.5" thickBot="1" x14ac:dyDescent="0.25">
      <c r="A3" s="481" t="s">
        <v>1582</v>
      </c>
      <c r="B3" s="481" t="s">
        <v>742</v>
      </c>
      <c r="C3" s="481" t="s">
        <v>882</v>
      </c>
      <c r="D3" s="481" t="s">
        <v>883</v>
      </c>
      <c r="E3" s="481" t="s">
        <v>884</v>
      </c>
    </row>
    <row r="4" spans="1:5" ht="25.5" thickBot="1" x14ac:dyDescent="0.2">
      <c r="A4" s="482"/>
      <c r="B4" s="483" t="s">
        <v>1583</v>
      </c>
      <c r="C4" s="483"/>
      <c r="D4" s="484"/>
      <c r="E4" s="485"/>
    </row>
    <row r="5" spans="1:5" ht="13.5" thickBot="1" x14ac:dyDescent="0.2">
      <c r="A5" s="482"/>
      <c r="B5" s="483" t="s">
        <v>1584</v>
      </c>
      <c r="C5" s="483" t="s">
        <v>658</v>
      </c>
      <c r="D5" s="484">
        <v>1.7</v>
      </c>
      <c r="E5" s="485"/>
    </row>
    <row r="6" spans="1:5" ht="13.5" thickBot="1" x14ac:dyDescent="0.2">
      <c r="A6" s="482"/>
      <c r="B6" s="483" t="s">
        <v>1585</v>
      </c>
      <c r="C6" s="483" t="s">
        <v>658</v>
      </c>
      <c r="D6" s="484">
        <v>1.75</v>
      </c>
      <c r="E6" s="485"/>
    </row>
    <row r="7" spans="1:5" ht="13.5" thickBot="1" x14ac:dyDescent="0.2">
      <c r="A7" s="482"/>
      <c r="B7" s="483" t="s">
        <v>1586</v>
      </c>
      <c r="C7" s="483" t="s">
        <v>658</v>
      </c>
      <c r="D7" s="484">
        <v>1.4</v>
      </c>
      <c r="E7" s="485"/>
    </row>
    <row r="8" spans="1:5" ht="13.5" thickBot="1" x14ac:dyDescent="0.2">
      <c r="A8" s="482"/>
      <c r="B8" s="483" t="s">
        <v>1587</v>
      </c>
      <c r="C8" s="483" t="s">
        <v>658</v>
      </c>
      <c r="D8" s="484">
        <v>2</v>
      </c>
      <c r="E8" s="485"/>
    </row>
    <row r="9" spans="1:5" ht="13.5" thickBot="1" x14ac:dyDescent="0.2">
      <c r="A9" s="482"/>
      <c r="B9" s="483" t="s">
        <v>1588</v>
      </c>
      <c r="C9" s="483" t="s">
        <v>658</v>
      </c>
      <c r="D9" s="484">
        <v>2.35</v>
      </c>
      <c r="E9" s="485"/>
    </row>
    <row r="10" spans="1:5" ht="13.5" thickBot="1" x14ac:dyDescent="0.2">
      <c r="A10" s="482"/>
      <c r="B10" s="483" t="s">
        <v>1589</v>
      </c>
      <c r="C10" s="483"/>
      <c r="D10" s="483"/>
      <c r="E10" s="485"/>
    </row>
    <row r="11" spans="1:5" ht="13.5" thickBot="1" x14ac:dyDescent="0.2">
      <c r="A11" s="482"/>
      <c r="B11" s="483" t="s">
        <v>1590</v>
      </c>
      <c r="C11" s="483" t="s">
        <v>658</v>
      </c>
      <c r="D11" s="484">
        <v>1</v>
      </c>
      <c r="E11" s="485"/>
    </row>
    <row r="12" spans="1:5" ht="13.5" thickBot="1" x14ac:dyDescent="0.2">
      <c r="A12" s="482"/>
      <c r="B12" s="483" t="s">
        <v>1591</v>
      </c>
      <c r="C12" s="483" t="s">
        <v>658</v>
      </c>
      <c r="D12" s="484">
        <v>4</v>
      </c>
      <c r="E12" s="485"/>
    </row>
    <row r="13" spans="1:5" ht="13.5" thickBot="1" x14ac:dyDescent="0.2">
      <c r="A13" s="482"/>
      <c r="B13" s="483" t="s">
        <v>1592</v>
      </c>
      <c r="C13" s="483" t="s">
        <v>658</v>
      </c>
      <c r="D13" s="484">
        <v>1</v>
      </c>
      <c r="E13" s="485"/>
    </row>
    <row r="14" spans="1:5" ht="13.5" thickBot="1" x14ac:dyDescent="0.2">
      <c r="A14" s="482"/>
      <c r="B14" s="483" t="s">
        <v>1593</v>
      </c>
      <c r="C14" s="483" t="s">
        <v>658</v>
      </c>
      <c r="D14" s="484">
        <v>1.8</v>
      </c>
      <c r="E14" s="485"/>
    </row>
    <row r="15" spans="1:5" ht="13.5" thickBot="1" x14ac:dyDescent="0.2">
      <c r="A15" s="482"/>
      <c r="B15" s="483" t="s">
        <v>1594</v>
      </c>
      <c r="C15" s="483" t="s">
        <v>658</v>
      </c>
      <c r="D15" s="484">
        <v>1.5</v>
      </c>
      <c r="E15" s="485"/>
    </row>
    <row r="16" spans="1:5" ht="13.5" thickBot="1" x14ac:dyDescent="0.2">
      <c r="A16" s="482"/>
      <c r="B16" s="483" t="s">
        <v>1595</v>
      </c>
      <c r="C16" s="483" t="s">
        <v>658</v>
      </c>
      <c r="D16" s="484">
        <v>1</v>
      </c>
      <c r="E16" s="485"/>
    </row>
    <row r="17" spans="1:5" ht="13.5" thickBot="1" x14ac:dyDescent="0.2">
      <c r="A17" s="482"/>
      <c r="B17" s="483" t="s">
        <v>1596</v>
      </c>
      <c r="C17" s="483" t="s">
        <v>658</v>
      </c>
      <c r="D17" s="484">
        <v>5</v>
      </c>
      <c r="E17" s="485"/>
    </row>
    <row r="18" spans="1:5" ht="13.5" thickBot="1" x14ac:dyDescent="0.2">
      <c r="A18" s="482"/>
      <c r="B18" s="483" t="s">
        <v>1597</v>
      </c>
      <c r="C18" s="483" t="s">
        <v>658</v>
      </c>
      <c r="D18" s="484">
        <v>3.5</v>
      </c>
      <c r="E18" s="485"/>
    </row>
    <row r="19" spans="1:5" ht="13.5" thickBot="1" x14ac:dyDescent="0.2">
      <c r="A19" s="482"/>
      <c r="B19" s="483" t="s">
        <v>1598</v>
      </c>
      <c r="C19" s="483" t="s">
        <v>658</v>
      </c>
      <c r="D19" s="484">
        <v>5</v>
      </c>
      <c r="E19" s="485"/>
    </row>
    <row r="20" spans="1:5" ht="13.5" thickBot="1" x14ac:dyDescent="0.2">
      <c r="A20" s="482"/>
      <c r="B20" s="483" t="s">
        <v>1599</v>
      </c>
      <c r="C20" s="483" t="s">
        <v>658</v>
      </c>
      <c r="D20" s="484">
        <v>6.5</v>
      </c>
      <c r="E20" s="485"/>
    </row>
    <row r="23" spans="1:5" ht="26.25" x14ac:dyDescent="0.15">
      <c r="A23" s="486" t="s">
        <v>1601</v>
      </c>
    </row>
    <row r="24" spans="1:5" ht="13.5" thickBot="1" x14ac:dyDescent="0.2">
      <c r="A24" s="487"/>
    </row>
    <row r="25" spans="1:5" ht="28.5" thickBot="1" x14ac:dyDescent="0.25">
      <c r="A25" s="496" t="s">
        <v>742</v>
      </c>
      <c r="B25" s="497"/>
      <c r="C25" s="497" t="s">
        <v>882</v>
      </c>
      <c r="D25" s="497" t="s">
        <v>883</v>
      </c>
      <c r="E25" s="498" t="s">
        <v>884</v>
      </c>
    </row>
    <row r="26" spans="1:5" ht="25.5" thickBot="1" x14ac:dyDescent="0.2">
      <c r="A26" s="499"/>
      <c r="B26" s="485" t="s">
        <v>1602</v>
      </c>
      <c r="C26" s="485"/>
      <c r="D26" s="485"/>
      <c r="E26" s="500"/>
    </row>
    <row r="27" spans="1:5" ht="13.5" thickBot="1" x14ac:dyDescent="0.2">
      <c r="A27" s="499"/>
      <c r="B27" s="485" t="s">
        <v>1603</v>
      </c>
      <c r="C27" s="485" t="s">
        <v>658</v>
      </c>
      <c r="D27" s="485">
        <v>1.5</v>
      </c>
      <c r="E27" s="500"/>
    </row>
    <row r="28" spans="1:5" ht="25.5" thickBot="1" x14ac:dyDescent="0.2">
      <c r="A28" s="499"/>
      <c r="B28" s="485" t="s">
        <v>1604</v>
      </c>
      <c r="C28" s="485" t="s">
        <v>658</v>
      </c>
      <c r="D28" s="485">
        <v>3</v>
      </c>
      <c r="E28" s="500"/>
    </row>
    <row r="29" spans="1:5" ht="13.5" thickBot="1" x14ac:dyDescent="0.2">
      <c r="A29" s="501"/>
      <c r="B29" s="502" t="s">
        <v>1605</v>
      </c>
      <c r="C29" s="502" t="s">
        <v>658</v>
      </c>
      <c r="D29" s="502">
        <v>3</v>
      </c>
      <c r="E29" s="503"/>
    </row>
    <row r="32" spans="1:5" ht="26.25" x14ac:dyDescent="0.15">
      <c r="A32" s="486" t="s">
        <v>1606</v>
      </c>
    </row>
    <row r="33" spans="1:5" ht="13.5" thickBot="1" x14ac:dyDescent="0.2">
      <c r="A33" s="487"/>
    </row>
    <row r="34" spans="1:5" ht="28.5" thickBot="1" x14ac:dyDescent="0.25">
      <c r="A34" s="481" t="s">
        <v>742</v>
      </c>
      <c r="B34" s="481"/>
      <c r="C34" s="481" t="s">
        <v>882</v>
      </c>
      <c r="D34" s="481" t="s">
        <v>883</v>
      </c>
      <c r="E34" s="481" t="s">
        <v>884</v>
      </c>
    </row>
    <row r="35" spans="1:5" ht="25.5" thickBot="1" x14ac:dyDescent="0.2">
      <c r="A35" s="482"/>
      <c r="B35" s="483" t="s">
        <v>1607</v>
      </c>
      <c r="C35" s="483"/>
      <c r="D35" s="484"/>
      <c r="E35" s="485"/>
    </row>
    <row r="36" spans="1:5" ht="13.5" thickBot="1" x14ac:dyDescent="0.2">
      <c r="A36" s="482" t="s">
        <v>1608</v>
      </c>
      <c r="B36" s="483" t="s">
        <v>1609</v>
      </c>
      <c r="C36" s="483" t="s">
        <v>658</v>
      </c>
      <c r="D36" s="484">
        <v>0.25</v>
      </c>
      <c r="E36" s="485"/>
    </row>
    <row r="37" spans="1:5" ht="13.5" thickBot="1" x14ac:dyDescent="0.2">
      <c r="A37" s="482"/>
      <c r="B37" s="483" t="s">
        <v>468</v>
      </c>
      <c r="C37" s="483" t="s">
        <v>658</v>
      </c>
      <c r="D37" s="484">
        <v>0.35</v>
      </c>
      <c r="E37" s="485"/>
    </row>
    <row r="38" spans="1:5" ht="13.5" thickBot="1" x14ac:dyDescent="0.2">
      <c r="A38" s="482"/>
      <c r="B38" s="483" t="s">
        <v>470</v>
      </c>
      <c r="C38" s="483" t="s">
        <v>658</v>
      </c>
      <c r="D38" s="484">
        <v>0.5</v>
      </c>
      <c r="E38" s="485"/>
    </row>
    <row r="39" spans="1:5" ht="13.5" thickBot="1" x14ac:dyDescent="0.2">
      <c r="A39" s="482"/>
      <c r="B39" s="483" t="s">
        <v>1610</v>
      </c>
      <c r="C39" s="483" t="s">
        <v>658</v>
      </c>
      <c r="D39" s="484">
        <v>0.75</v>
      </c>
      <c r="E39" s="485"/>
    </row>
    <row r="40" spans="1:5" ht="13.5" thickBot="1" x14ac:dyDescent="0.2">
      <c r="A40" s="482" t="s">
        <v>1611</v>
      </c>
      <c r="B40" s="483"/>
      <c r="C40" s="483"/>
      <c r="D40" s="483"/>
      <c r="E40" s="485"/>
    </row>
    <row r="41" spans="1:5" ht="13.5" thickBot="1" x14ac:dyDescent="0.2">
      <c r="A41" s="482"/>
      <c r="B41" s="483" t="s">
        <v>1612</v>
      </c>
      <c r="C41" s="483" t="s">
        <v>1275</v>
      </c>
      <c r="D41" s="484">
        <v>0.5</v>
      </c>
      <c r="E41" s="485"/>
    </row>
    <row r="42" spans="1:5" ht="13.5" thickBot="1" x14ac:dyDescent="0.2">
      <c r="A42" s="482"/>
      <c r="B42" s="483" t="s">
        <v>1613</v>
      </c>
      <c r="C42" s="483" t="s">
        <v>1275</v>
      </c>
      <c r="D42" s="484">
        <v>0.75</v>
      </c>
      <c r="E42" s="485"/>
    </row>
    <row r="43" spans="1:5" ht="13.5" thickBot="1" x14ac:dyDescent="0.2">
      <c r="A43" s="482"/>
      <c r="B43" s="483" t="s">
        <v>1614</v>
      </c>
      <c r="C43" s="483" t="s">
        <v>1275</v>
      </c>
      <c r="D43" s="484">
        <v>0.35</v>
      </c>
      <c r="E43" s="485"/>
    </row>
    <row r="44" spans="1:5" ht="13.5" thickBot="1" x14ac:dyDescent="0.2">
      <c r="A44" s="482"/>
      <c r="B44" s="483" t="s">
        <v>1615</v>
      </c>
      <c r="C44" s="483" t="s">
        <v>1275</v>
      </c>
      <c r="D44" s="484">
        <v>3</v>
      </c>
      <c r="E44" s="485"/>
    </row>
    <row r="45" spans="1:5" ht="13.5" thickBot="1" x14ac:dyDescent="0.2">
      <c r="A45" s="482"/>
      <c r="B45" s="483" t="s">
        <v>1616</v>
      </c>
      <c r="C45" s="483" t="s">
        <v>1275</v>
      </c>
      <c r="D45" s="484">
        <v>1.25</v>
      </c>
      <c r="E45" s="485"/>
    </row>
    <row r="46" spans="1:5" ht="13.5" thickBot="1" x14ac:dyDescent="0.2">
      <c r="A46" s="482" t="s">
        <v>1617</v>
      </c>
      <c r="B46" s="483"/>
      <c r="C46" s="483"/>
      <c r="D46" s="483"/>
      <c r="E46" s="485"/>
    </row>
    <row r="47" spans="1:5" ht="13.5" thickBot="1" x14ac:dyDescent="0.2">
      <c r="A47" s="482"/>
      <c r="B47" s="483" t="s">
        <v>1618</v>
      </c>
      <c r="C47" s="483" t="s">
        <v>658</v>
      </c>
      <c r="D47" s="484">
        <v>0.25</v>
      </c>
      <c r="E47" s="485"/>
    </row>
    <row r="48" spans="1:5" ht="13.5" thickBot="1" x14ac:dyDescent="0.2">
      <c r="A48" s="482"/>
      <c r="B48" s="483" t="s">
        <v>1619</v>
      </c>
      <c r="C48" s="483" t="s">
        <v>658</v>
      </c>
      <c r="D48" s="484">
        <v>0.3</v>
      </c>
      <c r="E48" s="485"/>
    </row>
    <row r="49" spans="1:5" ht="13.5" thickBot="1" x14ac:dyDescent="0.2">
      <c r="A49" s="482" t="s">
        <v>1620</v>
      </c>
      <c r="B49" s="483"/>
      <c r="C49" s="483"/>
      <c r="D49" s="483"/>
      <c r="E49" s="485"/>
    </row>
    <row r="50" spans="1:5" ht="13.5" thickBot="1" x14ac:dyDescent="0.2">
      <c r="A50" s="482"/>
      <c r="B50" s="483" t="s">
        <v>1621</v>
      </c>
      <c r="C50" s="483" t="s">
        <v>658</v>
      </c>
      <c r="D50" s="484">
        <v>0.5</v>
      </c>
      <c r="E50" s="485"/>
    </row>
    <row r="51" spans="1:5" ht="13.5" thickBot="1" x14ac:dyDescent="0.2">
      <c r="A51" s="482"/>
      <c r="B51" s="483" t="s">
        <v>1618</v>
      </c>
      <c r="C51" s="483" t="s">
        <v>658</v>
      </c>
      <c r="D51" s="484">
        <v>0.55000000000000004</v>
      </c>
      <c r="E51" s="485"/>
    </row>
    <row r="52" spans="1:5" ht="13.5" thickBot="1" x14ac:dyDescent="0.2">
      <c r="A52" s="489"/>
      <c r="B52" s="490" t="s">
        <v>1619</v>
      </c>
      <c r="C52" s="490" t="s">
        <v>658</v>
      </c>
      <c r="D52" s="491">
        <v>0.6</v>
      </c>
    </row>
    <row r="55" spans="1:5" ht="26.25" x14ac:dyDescent="0.15">
      <c r="A55" s="486" t="s">
        <v>1622</v>
      </c>
    </row>
    <row r="56" spans="1:5" ht="13.5" thickBot="1" x14ac:dyDescent="0.2">
      <c r="A56" s="487"/>
    </row>
    <row r="57" spans="1:5" ht="28.5" thickBot="1" x14ac:dyDescent="0.25">
      <c r="A57" s="481" t="s">
        <v>742</v>
      </c>
      <c r="B57" s="481"/>
      <c r="C57" s="481" t="s">
        <v>882</v>
      </c>
      <c r="D57" s="481" t="s">
        <v>883</v>
      </c>
      <c r="E57" s="481" t="s">
        <v>884</v>
      </c>
    </row>
    <row r="58" spans="1:5" ht="24.75" x14ac:dyDescent="0.15">
      <c r="A58" s="558"/>
      <c r="B58" s="542" t="s">
        <v>1623</v>
      </c>
      <c r="C58" s="560"/>
      <c r="D58" s="560"/>
      <c r="E58" s="562"/>
    </row>
    <row r="59" spans="1:5" ht="74.25" thickBot="1" x14ac:dyDescent="0.2">
      <c r="A59" s="559"/>
      <c r="B59" s="543" t="s">
        <v>1624</v>
      </c>
      <c r="C59" s="561"/>
      <c r="D59" s="561"/>
      <c r="E59" s="563"/>
    </row>
    <row r="60" spans="1:5" ht="13.5" thickBot="1" x14ac:dyDescent="0.2">
      <c r="A60" s="482" t="s">
        <v>1625</v>
      </c>
      <c r="B60" s="483" t="s">
        <v>468</v>
      </c>
      <c r="C60" s="483" t="s">
        <v>78</v>
      </c>
      <c r="D60" s="484">
        <v>0.35</v>
      </c>
      <c r="E60" s="485"/>
    </row>
    <row r="61" spans="1:5" ht="13.5" thickBot="1" x14ac:dyDescent="0.2">
      <c r="A61" s="482"/>
      <c r="B61" s="483" t="s">
        <v>470</v>
      </c>
      <c r="C61" s="483" t="s">
        <v>78</v>
      </c>
      <c r="D61" s="484">
        <v>0.4</v>
      </c>
      <c r="E61" s="485"/>
    </row>
    <row r="62" spans="1:5" ht="13.5" thickBot="1" x14ac:dyDescent="0.2">
      <c r="A62" s="482"/>
      <c r="B62" s="483" t="s">
        <v>1610</v>
      </c>
      <c r="C62" s="483" t="s">
        <v>78</v>
      </c>
      <c r="D62" s="484">
        <v>0.47</v>
      </c>
      <c r="E62" s="485"/>
    </row>
    <row r="63" spans="1:5" ht="13.5" thickBot="1" x14ac:dyDescent="0.2">
      <c r="A63" s="482"/>
      <c r="B63" s="483" t="s">
        <v>1626</v>
      </c>
      <c r="C63" s="483" t="s">
        <v>78</v>
      </c>
      <c r="D63" s="484">
        <v>0.53</v>
      </c>
      <c r="E63" s="485"/>
    </row>
    <row r="64" spans="1:5" ht="13.5" thickBot="1" x14ac:dyDescent="0.2">
      <c r="A64" s="482"/>
      <c r="B64" s="483" t="s">
        <v>1627</v>
      </c>
      <c r="C64" s="483" t="s">
        <v>78</v>
      </c>
      <c r="D64" s="484">
        <v>0.6</v>
      </c>
      <c r="E64" s="485"/>
    </row>
    <row r="65" spans="1:5" ht="13.5" thickBot="1" x14ac:dyDescent="0.2">
      <c r="A65" s="482"/>
      <c r="B65" s="483" t="s">
        <v>1628</v>
      </c>
      <c r="C65" s="483" t="s">
        <v>78</v>
      </c>
      <c r="D65" s="484">
        <v>0.68</v>
      </c>
      <c r="E65" s="485"/>
    </row>
    <row r="66" spans="1:5" ht="13.5" thickBot="1" x14ac:dyDescent="0.2">
      <c r="A66" s="482"/>
      <c r="B66" s="483" t="s">
        <v>1629</v>
      </c>
      <c r="C66" s="483" t="s">
        <v>78</v>
      </c>
      <c r="D66" s="484">
        <v>0.78</v>
      </c>
      <c r="E66" s="485"/>
    </row>
    <row r="67" spans="1:5" ht="13.5" thickBot="1" x14ac:dyDescent="0.2">
      <c r="A67" s="482" t="s">
        <v>1630</v>
      </c>
      <c r="B67" s="483" t="s">
        <v>468</v>
      </c>
      <c r="C67" s="483" t="s">
        <v>658</v>
      </c>
      <c r="D67" s="484">
        <v>0.15</v>
      </c>
      <c r="E67" s="485"/>
    </row>
    <row r="68" spans="1:5" ht="13.5" thickBot="1" x14ac:dyDescent="0.2">
      <c r="A68" s="482"/>
      <c r="B68" s="483" t="s">
        <v>470</v>
      </c>
      <c r="C68" s="483" t="s">
        <v>658</v>
      </c>
      <c r="D68" s="484">
        <v>0.18</v>
      </c>
      <c r="E68" s="485"/>
    </row>
    <row r="69" spans="1:5" ht="13.5" thickBot="1" x14ac:dyDescent="0.2">
      <c r="A69" s="482"/>
      <c r="B69" s="483" t="s">
        <v>1610</v>
      </c>
      <c r="C69" s="483" t="s">
        <v>658</v>
      </c>
      <c r="D69" s="484">
        <v>0.25</v>
      </c>
      <c r="E69" s="485"/>
    </row>
    <row r="70" spans="1:5" ht="13.5" thickBot="1" x14ac:dyDescent="0.2">
      <c r="A70" s="482"/>
      <c r="B70" s="483" t="s">
        <v>1626</v>
      </c>
      <c r="C70" s="483" t="s">
        <v>658</v>
      </c>
      <c r="D70" s="484">
        <v>0.3</v>
      </c>
      <c r="E70" s="485"/>
    </row>
    <row r="71" spans="1:5" ht="13.5" thickBot="1" x14ac:dyDescent="0.2">
      <c r="A71" s="482"/>
      <c r="B71" s="483" t="s">
        <v>1627</v>
      </c>
      <c r="C71" s="483" t="s">
        <v>658</v>
      </c>
      <c r="D71" s="484">
        <v>0.35</v>
      </c>
      <c r="E71" s="485"/>
    </row>
    <row r="72" spans="1:5" ht="13.5" thickBot="1" x14ac:dyDescent="0.2">
      <c r="A72" s="482"/>
      <c r="B72" s="483" t="s">
        <v>1628</v>
      </c>
      <c r="C72" s="483" t="s">
        <v>658</v>
      </c>
      <c r="D72" s="484">
        <v>0.45</v>
      </c>
      <c r="E72" s="485"/>
    </row>
    <row r="73" spans="1:5" ht="13.5" thickBot="1" x14ac:dyDescent="0.2">
      <c r="A73" s="482"/>
      <c r="B73" s="483" t="s">
        <v>1629</v>
      </c>
      <c r="C73" s="483" t="s">
        <v>658</v>
      </c>
      <c r="D73" s="484">
        <v>0.65</v>
      </c>
      <c r="E73" s="485"/>
    </row>
    <row r="74" spans="1:5" ht="13.5" thickBot="1" x14ac:dyDescent="0.2">
      <c r="A74" s="482" t="s">
        <v>1631</v>
      </c>
      <c r="B74" s="483" t="s">
        <v>468</v>
      </c>
      <c r="C74" s="483" t="s">
        <v>658</v>
      </c>
      <c r="D74" s="484">
        <v>0.22</v>
      </c>
      <c r="E74" s="485"/>
    </row>
    <row r="75" spans="1:5" ht="13.5" thickBot="1" x14ac:dyDescent="0.2">
      <c r="A75" s="482"/>
      <c r="B75" s="483" t="s">
        <v>470</v>
      </c>
      <c r="C75" s="483" t="s">
        <v>658</v>
      </c>
      <c r="D75" s="484">
        <v>0.26</v>
      </c>
      <c r="E75" s="485"/>
    </row>
    <row r="76" spans="1:5" ht="13.5" thickBot="1" x14ac:dyDescent="0.2">
      <c r="A76" s="482"/>
      <c r="B76" s="483" t="s">
        <v>1610</v>
      </c>
      <c r="C76" s="483" t="s">
        <v>658</v>
      </c>
      <c r="D76" s="484">
        <v>0.3</v>
      </c>
      <c r="E76" s="485"/>
    </row>
    <row r="77" spans="1:5" ht="13.5" thickBot="1" x14ac:dyDescent="0.2">
      <c r="A77" s="482"/>
      <c r="B77" s="483" t="s">
        <v>1626</v>
      </c>
      <c r="C77" s="483" t="s">
        <v>658</v>
      </c>
      <c r="D77" s="484">
        <v>0.35</v>
      </c>
      <c r="E77" s="485"/>
    </row>
    <row r="78" spans="1:5" ht="13.5" thickBot="1" x14ac:dyDescent="0.2">
      <c r="A78" s="482"/>
      <c r="B78" s="483" t="s">
        <v>1627</v>
      </c>
      <c r="C78" s="483" t="s">
        <v>658</v>
      </c>
      <c r="D78" s="484">
        <v>0.4</v>
      </c>
      <c r="E78" s="485"/>
    </row>
    <row r="79" spans="1:5" ht="13.5" thickBot="1" x14ac:dyDescent="0.2">
      <c r="A79" s="482"/>
      <c r="B79" s="483" t="s">
        <v>1628</v>
      </c>
      <c r="C79" s="483" t="s">
        <v>658</v>
      </c>
      <c r="D79" s="484">
        <v>0.5</v>
      </c>
      <c r="E79" s="485"/>
    </row>
    <row r="80" spans="1:5" ht="13.5" thickBot="1" x14ac:dyDescent="0.2">
      <c r="A80" s="482"/>
      <c r="B80" s="483" t="s">
        <v>1629</v>
      </c>
      <c r="C80" s="483" t="s">
        <v>658</v>
      </c>
      <c r="D80" s="484">
        <v>0.8</v>
      </c>
      <c r="E80" s="485"/>
    </row>
    <row r="81" spans="1:5" ht="13.5" thickBot="1" x14ac:dyDescent="0.2">
      <c r="A81" s="482" t="s">
        <v>1632</v>
      </c>
      <c r="B81" s="483" t="s">
        <v>468</v>
      </c>
      <c r="C81" s="483" t="s">
        <v>78</v>
      </c>
      <c r="D81" s="484">
        <v>0.25</v>
      </c>
      <c r="E81" s="485"/>
    </row>
    <row r="82" spans="1:5" ht="13.5" thickBot="1" x14ac:dyDescent="0.2">
      <c r="A82" s="482"/>
      <c r="B82" s="483" t="s">
        <v>470</v>
      </c>
      <c r="C82" s="483" t="s">
        <v>78</v>
      </c>
      <c r="D82" s="484">
        <v>0.28000000000000003</v>
      </c>
      <c r="E82" s="485"/>
    </row>
    <row r="83" spans="1:5" ht="13.5" thickBot="1" x14ac:dyDescent="0.2">
      <c r="A83" s="482"/>
      <c r="B83" s="483" t="s">
        <v>1610</v>
      </c>
      <c r="C83" s="483" t="s">
        <v>78</v>
      </c>
      <c r="D83" s="484">
        <v>0.3</v>
      </c>
      <c r="E83" s="485"/>
    </row>
    <row r="84" spans="1:5" ht="13.5" thickBot="1" x14ac:dyDescent="0.2">
      <c r="A84" s="482"/>
      <c r="B84" s="483" t="s">
        <v>1626</v>
      </c>
      <c r="C84" s="483" t="s">
        <v>78</v>
      </c>
      <c r="D84" s="484">
        <v>0.33</v>
      </c>
      <c r="E84" s="485"/>
    </row>
    <row r="85" spans="1:5" ht="13.5" thickBot="1" x14ac:dyDescent="0.2">
      <c r="A85" s="482"/>
      <c r="B85" s="483" t="s">
        <v>1627</v>
      </c>
      <c r="C85" s="483" t="s">
        <v>78</v>
      </c>
      <c r="D85" s="484">
        <v>0.38</v>
      </c>
      <c r="E85" s="485"/>
    </row>
    <row r="86" spans="1:5" ht="13.5" thickBot="1" x14ac:dyDescent="0.2">
      <c r="A86" s="482"/>
      <c r="B86" s="483" t="s">
        <v>1628</v>
      </c>
      <c r="C86" s="483" t="s">
        <v>78</v>
      </c>
      <c r="D86" s="484">
        <v>0.4</v>
      </c>
      <c r="E86" s="485"/>
    </row>
    <row r="87" spans="1:5" ht="13.5" thickBot="1" x14ac:dyDescent="0.2">
      <c r="A87" s="482" t="s">
        <v>1630</v>
      </c>
      <c r="B87" s="483" t="s">
        <v>468</v>
      </c>
      <c r="C87" s="483" t="s">
        <v>658</v>
      </c>
      <c r="D87" s="484">
        <v>0.16</v>
      </c>
      <c r="E87" s="485"/>
    </row>
    <row r="88" spans="1:5" ht="13.5" thickBot="1" x14ac:dyDescent="0.2">
      <c r="A88" s="482"/>
      <c r="B88" s="483" t="s">
        <v>470</v>
      </c>
      <c r="C88" s="483" t="s">
        <v>658</v>
      </c>
      <c r="D88" s="484">
        <v>0.18</v>
      </c>
      <c r="E88" s="485"/>
    </row>
    <row r="89" spans="1:5" ht="13.5" thickBot="1" x14ac:dyDescent="0.2">
      <c r="A89" s="482"/>
      <c r="B89" s="483" t="s">
        <v>1610</v>
      </c>
      <c r="C89" s="483" t="s">
        <v>658</v>
      </c>
      <c r="D89" s="484">
        <v>0.22</v>
      </c>
      <c r="E89" s="485"/>
    </row>
    <row r="90" spans="1:5" ht="13.5" thickBot="1" x14ac:dyDescent="0.2">
      <c r="A90" s="482"/>
      <c r="B90" s="483" t="s">
        <v>1626</v>
      </c>
      <c r="C90" s="483" t="s">
        <v>658</v>
      </c>
      <c r="D90" s="484">
        <v>0.27</v>
      </c>
      <c r="E90" s="485"/>
    </row>
    <row r="91" spans="1:5" ht="13.5" thickBot="1" x14ac:dyDescent="0.2">
      <c r="A91" s="482"/>
      <c r="B91" s="483" t="s">
        <v>1627</v>
      </c>
      <c r="C91" s="483" t="s">
        <v>658</v>
      </c>
      <c r="D91" s="484">
        <v>0.33</v>
      </c>
      <c r="E91" s="485"/>
    </row>
    <row r="92" spans="1:5" ht="13.5" thickBot="1" x14ac:dyDescent="0.2">
      <c r="A92" s="482"/>
      <c r="B92" s="483" t="s">
        <v>1628</v>
      </c>
      <c r="C92" s="483" t="s">
        <v>658</v>
      </c>
      <c r="D92" s="484">
        <v>0.42</v>
      </c>
      <c r="E92" s="485"/>
    </row>
    <row r="93" spans="1:5" ht="13.5" thickBot="1" x14ac:dyDescent="0.2">
      <c r="A93" s="482" t="s">
        <v>1631</v>
      </c>
      <c r="B93" s="483" t="s">
        <v>468</v>
      </c>
      <c r="C93" s="483" t="s">
        <v>658</v>
      </c>
      <c r="D93" s="484">
        <v>0.18</v>
      </c>
      <c r="E93" s="485"/>
    </row>
    <row r="94" spans="1:5" ht="13.5" thickBot="1" x14ac:dyDescent="0.2">
      <c r="A94" s="482"/>
      <c r="B94" s="483" t="s">
        <v>470</v>
      </c>
      <c r="C94" s="483" t="s">
        <v>658</v>
      </c>
      <c r="D94" s="484">
        <v>0.2</v>
      </c>
      <c r="E94" s="485"/>
    </row>
    <row r="95" spans="1:5" ht="13.5" thickBot="1" x14ac:dyDescent="0.2">
      <c r="A95" s="482"/>
      <c r="B95" s="483" t="s">
        <v>1610</v>
      </c>
      <c r="C95" s="483" t="s">
        <v>658</v>
      </c>
      <c r="D95" s="484">
        <v>0.24</v>
      </c>
      <c r="E95" s="485"/>
    </row>
    <row r="96" spans="1:5" ht="13.5" thickBot="1" x14ac:dyDescent="0.2">
      <c r="A96" s="482"/>
      <c r="B96" s="483" t="s">
        <v>1626</v>
      </c>
      <c r="C96" s="483" t="s">
        <v>658</v>
      </c>
      <c r="D96" s="484">
        <v>0.3</v>
      </c>
      <c r="E96" s="485"/>
    </row>
    <row r="97" spans="1:5" ht="13.5" thickBot="1" x14ac:dyDescent="0.2">
      <c r="A97" s="482"/>
      <c r="B97" s="483" t="s">
        <v>1627</v>
      </c>
      <c r="C97" s="483" t="s">
        <v>658</v>
      </c>
      <c r="D97" s="484">
        <v>0.35</v>
      </c>
      <c r="E97" s="485"/>
    </row>
    <row r="98" spans="1:5" ht="13.5" thickBot="1" x14ac:dyDescent="0.2">
      <c r="A98" s="489"/>
      <c r="B98" s="490" t="s">
        <v>1628</v>
      </c>
      <c r="C98" s="490" t="s">
        <v>658</v>
      </c>
      <c r="D98" s="491">
        <v>0.45</v>
      </c>
    </row>
    <row r="101" spans="1:5" ht="26.25" x14ac:dyDescent="0.15">
      <c r="A101" s="486" t="s">
        <v>1633</v>
      </c>
    </row>
    <row r="102" spans="1:5" ht="13.5" thickBot="1" x14ac:dyDescent="0.2">
      <c r="A102" s="487"/>
    </row>
    <row r="103" spans="1:5" ht="28.5" thickBot="1" x14ac:dyDescent="0.25">
      <c r="A103" s="481" t="s">
        <v>742</v>
      </c>
      <c r="B103" s="481"/>
      <c r="C103" s="481" t="s">
        <v>882</v>
      </c>
      <c r="D103" s="481" t="s">
        <v>883</v>
      </c>
      <c r="E103" s="481" t="s">
        <v>884</v>
      </c>
    </row>
    <row r="104" spans="1:5" ht="24.75" x14ac:dyDescent="0.15">
      <c r="A104" s="558"/>
      <c r="B104" s="542" t="s">
        <v>1623</v>
      </c>
      <c r="C104" s="560"/>
      <c r="D104" s="560"/>
      <c r="E104" s="562"/>
    </row>
    <row r="105" spans="1:5" ht="74.25" thickBot="1" x14ac:dyDescent="0.2">
      <c r="A105" s="559"/>
      <c r="B105" s="543" t="s">
        <v>1634</v>
      </c>
      <c r="C105" s="561"/>
      <c r="D105" s="561"/>
      <c r="E105" s="563"/>
    </row>
    <row r="106" spans="1:5" ht="13.5" thickBot="1" x14ac:dyDescent="0.2">
      <c r="A106" s="482" t="s">
        <v>1625</v>
      </c>
      <c r="B106" s="483" t="s">
        <v>1635</v>
      </c>
      <c r="C106" s="483" t="s">
        <v>78</v>
      </c>
      <c r="D106" s="484">
        <v>0.22</v>
      </c>
      <c r="E106" s="485"/>
    </row>
    <row r="107" spans="1:5" ht="13.5" thickBot="1" x14ac:dyDescent="0.2">
      <c r="A107" s="482"/>
      <c r="B107" s="483" t="s">
        <v>464</v>
      </c>
      <c r="C107" s="483" t="s">
        <v>78</v>
      </c>
      <c r="D107" s="484">
        <v>0.24</v>
      </c>
      <c r="E107" s="485"/>
    </row>
    <row r="108" spans="1:5" ht="13.5" thickBot="1" x14ac:dyDescent="0.2">
      <c r="A108" s="482"/>
      <c r="B108" s="483" t="s">
        <v>466</v>
      </c>
      <c r="C108" s="483" t="s">
        <v>78</v>
      </c>
      <c r="D108" s="484">
        <v>0.26</v>
      </c>
      <c r="E108" s="485"/>
    </row>
    <row r="109" spans="1:5" ht="13.5" thickBot="1" x14ac:dyDescent="0.2">
      <c r="A109" s="482"/>
      <c r="B109" s="483" t="s">
        <v>468</v>
      </c>
      <c r="C109" s="483" t="s">
        <v>78</v>
      </c>
      <c r="D109" s="484">
        <v>0.3</v>
      </c>
      <c r="E109" s="485"/>
    </row>
    <row r="110" spans="1:5" ht="13.5" thickBot="1" x14ac:dyDescent="0.2">
      <c r="A110" s="482"/>
      <c r="B110" s="483" t="s">
        <v>470</v>
      </c>
      <c r="C110" s="483" t="s">
        <v>78</v>
      </c>
      <c r="D110" s="484">
        <v>0.35</v>
      </c>
      <c r="E110" s="485"/>
    </row>
    <row r="111" spans="1:5" ht="13.5" thickBot="1" x14ac:dyDescent="0.2">
      <c r="A111" s="482"/>
      <c r="B111" s="483" t="s">
        <v>1610</v>
      </c>
      <c r="C111" s="483" t="s">
        <v>78</v>
      </c>
      <c r="D111" s="484">
        <v>0.4</v>
      </c>
      <c r="E111" s="485"/>
    </row>
    <row r="112" spans="1:5" ht="13.5" thickBot="1" x14ac:dyDescent="0.2">
      <c r="A112" s="482"/>
      <c r="B112" s="483" t="s">
        <v>1626</v>
      </c>
      <c r="C112" s="483" t="s">
        <v>78</v>
      </c>
      <c r="D112" s="484">
        <v>0.47</v>
      </c>
      <c r="E112" s="485"/>
    </row>
    <row r="113" spans="1:5" ht="13.5" thickBot="1" x14ac:dyDescent="0.2">
      <c r="A113" s="482"/>
      <c r="B113" s="483" t="s">
        <v>1627</v>
      </c>
      <c r="C113" s="483" t="s">
        <v>78</v>
      </c>
      <c r="D113" s="484">
        <v>0.55000000000000004</v>
      </c>
      <c r="E113" s="485"/>
    </row>
    <row r="114" spans="1:5" ht="13.5" thickBot="1" x14ac:dyDescent="0.2">
      <c r="A114" s="482"/>
      <c r="B114" s="483" t="s">
        <v>1628</v>
      </c>
      <c r="C114" s="483" t="s">
        <v>78</v>
      </c>
      <c r="D114" s="484">
        <v>0.65</v>
      </c>
      <c r="E114" s="485"/>
    </row>
    <row r="115" spans="1:5" ht="13.5" thickBot="1" x14ac:dyDescent="0.2">
      <c r="A115" s="482" t="s">
        <v>1632</v>
      </c>
      <c r="B115" s="483" t="s">
        <v>1635</v>
      </c>
      <c r="C115" s="483" t="s">
        <v>78</v>
      </c>
      <c r="D115" s="484">
        <v>0.13</v>
      </c>
      <c r="E115" s="485"/>
    </row>
    <row r="116" spans="1:5" ht="13.5" thickBot="1" x14ac:dyDescent="0.2">
      <c r="A116" s="482"/>
      <c r="B116" s="483" t="s">
        <v>464</v>
      </c>
      <c r="C116" s="483" t="s">
        <v>78</v>
      </c>
      <c r="D116" s="484">
        <v>0.13</v>
      </c>
      <c r="E116" s="485"/>
    </row>
    <row r="117" spans="1:5" ht="13.5" thickBot="1" x14ac:dyDescent="0.2">
      <c r="A117" s="482"/>
      <c r="B117" s="483" t="s">
        <v>466</v>
      </c>
      <c r="C117" s="483" t="s">
        <v>78</v>
      </c>
      <c r="D117" s="484">
        <v>0.16</v>
      </c>
      <c r="E117" s="485"/>
    </row>
    <row r="118" spans="1:5" ht="13.5" thickBot="1" x14ac:dyDescent="0.2">
      <c r="A118" s="482"/>
      <c r="B118" s="483" t="s">
        <v>468</v>
      </c>
      <c r="C118" s="483" t="s">
        <v>78</v>
      </c>
      <c r="D118" s="484">
        <v>0.18</v>
      </c>
      <c r="E118" s="485"/>
    </row>
    <row r="119" spans="1:5" ht="13.5" thickBot="1" x14ac:dyDescent="0.2">
      <c r="A119" s="482"/>
      <c r="B119" s="483" t="s">
        <v>470</v>
      </c>
      <c r="C119" s="483" t="s">
        <v>78</v>
      </c>
      <c r="D119" s="484">
        <v>0.2</v>
      </c>
      <c r="E119" s="485"/>
    </row>
    <row r="120" spans="1:5" ht="13.5" thickBot="1" x14ac:dyDescent="0.2">
      <c r="A120" s="482"/>
      <c r="B120" s="483" t="s">
        <v>1610</v>
      </c>
      <c r="C120" s="483" t="s">
        <v>78</v>
      </c>
      <c r="D120" s="484">
        <v>0.23</v>
      </c>
      <c r="E120" s="485"/>
    </row>
    <row r="121" spans="1:5" ht="13.5" thickBot="1" x14ac:dyDescent="0.2">
      <c r="A121" s="482"/>
      <c r="B121" s="483" t="s">
        <v>1626</v>
      </c>
      <c r="C121" s="483" t="s">
        <v>78</v>
      </c>
      <c r="D121" s="484">
        <v>0.26</v>
      </c>
      <c r="E121" s="485"/>
    </row>
    <row r="122" spans="1:5" ht="13.5" thickBot="1" x14ac:dyDescent="0.2">
      <c r="A122" s="482"/>
      <c r="B122" s="483" t="s">
        <v>1627</v>
      </c>
      <c r="C122" s="483" t="s">
        <v>78</v>
      </c>
      <c r="D122" s="484">
        <v>0.3</v>
      </c>
      <c r="E122" s="485"/>
    </row>
    <row r="123" spans="1:5" ht="13.5" thickBot="1" x14ac:dyDescent="0.2">
      <c r="A123" s="482"/>
      <c r="B123" s="483" t="s">
        <v>1628</v>
      </c>
      <c r="C123" s="483" t="s">
        <v>78</v>
      </c>
      <c r="D123" s="484">
        <v>0.35</v>
      </c>
      <c r="E123" s="485"/>
    </row>
    <row r="124" spans="1:5" ht="13.5" thickBot="1" x14ac:dyDescent="0.2">
      <c r="A124" s="482" t="s">
        <v>1630</v>
      </c>
      <c r="B124" s="483" t="s">
        <v>1635</v>
      </c>
      <c r="C124" s="483" t="s">
        <v>658</v>
      </c>
      <c r="D124" s="484">
        <v>0.1</v>
      </c>
      <c r="E124" s="485"/>
    </row>
    <row r="125" spans="1:5" ht="13.5" thickBot="1" x14ac:dyDescent="0.2">
      <c r="A125" s="482"/>
      <c r="B125" s="483" t="s">
        <v>464</v>
      </c>
      <c r="C125" s="483" t="s">
        <v>658</v>
      </c>
      <c r="D125" s="484">
        <v>0.1</v>
      </c>
      <c r="E125" s="485"/>
    </row>
    <row r="126" spans="1:5" ht="13.5" thickBot="1" x14ac:dyDescent="0.2">
      <c r="A126" s="482"/>
      <c r="B126" s="483" t="s">
        <v>466</v>
      </c>
      <c r="C126" s="483" t="s">
        <v>658</v>
      </c>
      <c r="D126" s="484">
        <v>0.1</v>
      </c>
      <c r="E126" s="485"/>
    </row>
    <row r="127" spans="1:5" ht="13.5" thickBot="1" x14ac:dyDescent="0.2">
      <c r="A127" s="482"/>
      <c r="B127" s="483" t="s">
        <v>468</v>
      </c>
      <c r="C127" s="483" t="s">
        <v>658</v>
      </c>
      <c r="D127" s="484">
        <v>0.13</v>
      </c>
      <c r="E127" s="485"/>
    </row>
    <row r="128" spans="1:5" ht="13.5" thickBot="1" x14ac:dyDescent="0.2">
      <c r="A128" s="482"/>
      <c r="B128" s="483" t="s">
        <v>470</v>
      </c>
      <c r="C128" s="483" t="s">
        <v>658</v>
      </c>
      <c r="D128" s="484">
        <v>0.15</v>
      </c>
      <c r="E128" s="485"/>
    </row>
    <row r="129" spans="1:5" ht="13.5" thickBot="1" x14ac:dyDescent="0.2">
      <c r="A129" s="482"/>
      <c r="B129" s="483" t="s">
        <v>1610</v>
      </c>
      <c r="C129" s="483" t="s">
        <v>658</v>
      </c>
      <c r="D129" s="484">
        <v>0.18</v>
      </c>
      <c r="E129" s="485"/>
    </row>
    <row r="130" spans="1:5" ht="13.5" thickBot="1" x14ac:dyDescent="0.2">
      <c r="A130" s="482"/>
      <c r="B130" s="483" t="s">
        <v>1626</v>
      </c>
      <c r="C130" s="483" t="s">
        <v>658</v>
      </c>
      <c r="D130" s="484">
        <v>0.2</v>
      </c>
      <c r="E130" s="485"/>
    </row>
    <row r="131" spans="1:5" ht="13.5" thickBot="1" x14ac:dyDescent="0.2">
      <c r="A131" s="482"/>
      <c r="B131" s="483" t="s">
        <v>1627</v>
      </c>
      <c r="C131" s="483" t="s">
        <v>658</v>
      </c>
      <c r="D131" s="484">
        <v>0.25</v>
      </c>
      <c r="E131" s="485"/>
    </row>
    <row r="132" spans="1:5" ht="13.5" thickBot="1" x14ac:dyDescent="0.2">
      <c r="A132" s="482"/>
      <c r="B132" s="483" t="s">
        <v>1628</v>
      </c>
      <c r="C132" s="483" t="s">
        <v>658</v>
      </c>
      <c r="D132" s="484">
        <v>0.33</v>
      </c>
      <c r="E132" s="485"/>
    </row>
    <row r="133" spans="1:5" ht="13.5" thickBot="1" x14ac:dyDescent="0.2">
      <c r="A133" s="482" t="s">
        <v>1636</v>
      </c>
      <c r="B133" s="483" t="s">
        <v>1635</v>
      </c>
      <c r="C133" s="483" t="s">
        <v>658</v>
      </c>
      <c r="D133" s="484">
        <v>0.14000000000000001</v>
      </c>
      <c r="E133" s="485"/>
    </row>
    <row r="134" spans="1:5" ht="13.5" thickBot="1" x14ac:dyDescent="0.2">
      <c r="A134" s="482"/>
      <c r="B134" s="483" t="s">
        <v>464</v>
      </c>
      <c r="C134" s="483" t="s">
        <v>658</v>
      </c>
      <c r="D134" s="484">
        <v>0.14000000000000001</v>
      </c>
      <c r="E134" s="485"/>
    </row>
    <row r="135" spans="1:5" ht="13.5" thickBot="1" x14ac:dyDescent="0.2">
      <c r="A135" s="482"/>
      <c r="B135" s="483" t="s">
        <v>466</v>
      </c>
      <c r="C135" s="483" t="s">
        <v>658</v>
      </c>
      <c r="D135" s="484">
        <v>0.14000000000000001</v>
      </c>
      <c r="E135" s="485"/>
    </row>
    <row r="136" spans="1:5" ht="13.5" thickBot="1" x14ac:dyDescent="0.2">
      <c r="A136" s="482"/>
      <c r="B136" s="483" t="s">
        <v>468</v>
      </c>
      <c r="C136" s="483" t="s">
        <v>658</v>
      </c>
      <c r="D136" s="484">
        <v>0.15</v>
      </c>
      <c r="E136" s="485"/>
    </row>
    <row r="137" spans="1:5" ht="13.5" thickBot="1" x14ac:dyDescent="0.2">
      <c r="A137" s="482"/>
      <c r="B137" s="483" t="s">
        <v>470</v>
      </c>
      <c r="C137" s="483" t="s">
        <v>658</v>
      </c>
      <c r="D137" s="484">
        <v>0.18</v>
      </c>
      <c r="E137" s="485"/>
    </row>
    <row r="138" spans="1:5" ht="13.5" thickBot="1" x14ac:dyDescent="0.2">
      <c r="A138" s="482"/>
      <c r="B138" s="483" t="s">
        <v>1610</v>
      </c>
      <c r="C138" s="483" t="s">
        <v>658</v>
      </c>
      <c r="D138" s="484">
        <v>0.22</v>
      </c>
      <c r="E138" s="485"/>
    </row>
    <row r="139" spans="1:5" ht="13.5" thickBot="1" x14ac:dyDescent="0.2">
      <c r="A139" s="482"/>
      <c r="B139" s="483" t="s">
        <v>1626</v>
      </c>
      <c r="C139" s="483" t="s">
        <v>658</v>
      </c>
      <c r="D139" s="484">
        <v>0.24</v>
      </c>
      <c r="E139" s="485"/>
    </row>
    <row r="140" spans="1:5" ht="13.5" thickBot="1" x14ac:dyDescent="0.2">
      <c r="A140" s="482"/>
      <c r="B140" s="483" t="s">
        <v>1627</v>
      </c>
      <c r="C140" s="483" t="s">
        <v>658</v>
      </c>
      <c r="D140" s="484">
        <v>0.28999999999999998</v>
      </c>
      <c r="E140" s="485"/>
    </row>
    <row r="141" spans="1:5" ht="13.5" thickBot="1" x14ac:dyDescent="0.2">
      <c r="A141" s="489"/>
      <c r="B141" s="490" t="s">
        <v>1628</v>
      </c>
      <c r="C141" s="490" t="s">
        <v>658</v>
      </c>
      <c r="D141" s="491">
        <v>0.38</v>
      </c>
    </row>
  </sheetData>
  <mergeCells count="8">
    <mergeCell ref="A58:A59"/>
    <mergeCell ref="C58:C59"/>
    <mergeCell ref="D58:D59"/>
    <mergeCell ref="E58:E59"/>
    <mergeCell ref="A104:A105"/>
    <mergeCell ref="C104:C105"/>
    <mergeCell ref="D104:D105"/>
    <mergeCell ref="E104:E10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5"/>
  <sheetViews>
    <sheetView topLeftCell="A92" workbookViewId="0">
      <selection activeCell="B112" sqref="B112"/>
    </sheetView>
  </sheetViews>
  <sheetFormatPr defaultRowHeight="12.75" x14ac:dyDescent="0.15"/>
  <cols>
    <col min="1" max="1" width="35.46484375" customWidth="1"/>
    <col min="2" max="2" width="26.96875" customWidth="1"/>
  </cols>
  <sheetData>
    <row r="1" spans="1:5" ht="26.25" x14ac:dyDescent="0.15">
      <c r="A1" s="479" t="s">
        <v>1637</v>
      </c>
    </row>
    <row r="2" spans="1:5" ht="15" thickBot="1" x14ac:dyDescent="0.2">
      <c r="A2" s="480"/>
    </row>
    <row r="3" spans="1:5" ht="28.5" thickBot="1" x14ac:dyDescent="0.25">
      <c r="A3" s="496" t="s">
        <v>742</v>
      </c>
      <c r="B3" s="497"/>
      <c r="C3" s="497" t="s">
        <v>1638</v>
      </c>
      <c r="D3" s="497" t="s">
        <v>883</v>
      </c>
      <c r="E3" s="498" t="s">
        <v>884</v>
      </c>
    </row>
    <row r="4" spans="1:5" ht="13.5" thickBot="1" x14ac:dyDescent="0.2">
      <c r="A4" s="499" t="s">
        <v>1637</v>
      </c>
      <c r="B4" s="485"/>
      <c r="C4" s="485"/>
      <c r="D4" s="485"/>
      <c r="E4" s="500"/>
    </row>
    <row r="5" spans="1:5" ht="13.5" thickBot="1" x14ac:dyDescent="0.2">
      <c r="A5" s="499"/>
      <c r="B5" s="485" t="s">
        <v>1639</v>
      </c>
      <c r="C5" s="485"/>
      <c r="D5" s="485"/>
      <c r="E5" s="500"/>
    </row>
    <row r="6" spans="1:5" ht="13.5" thickBot="1" x14ac:dyDescent="0.2">
      <c r="A6" s="499"/>
      <c r="B6" s="485" t="s">
        <v>1640</v>
      </c>
      <c r="C6" s="485" t="s">
        <v>1641</v>
      </c>
      <c r="D6" s="485">
        <v>16</v>
      </c>
      <c r="E6" s="500">
        <v>8</v>
      </c>
    </row>
    <row r="7" spans="1:5" ht="25.5" thickBot="1" x14ac:dyDescent="0.2">
      <c r="A7" s="509"/>
      <c r="B7" s="512" t="s">
        <v>1642</v>
      </c>
      <c r="C7" s="512" t="s">
        <v>84</v>
      </c>
      <c r="D7" s="512">
        <v>0.2</v>
      </c>
      <c r="E7" s="511">
        <v>0.06</v>
      </c>
    </row>
    <row r="10" spans="1:5" ht="26.25" x14ac:dyDescent="0.15">
      <c r="A10" s="479" t="s">
        <v>1643</v>
      </c>
    </row>
    <row r="11" spans="1:5" ht="15" thickBot="1" x14ac:dyDescent="0.2">
      <c r="A11" s="480"/>
    </row>
    <row r="12" spans="1:5" ht="28.5" thickBot="1" x14ac:dyDescent="0.25">
      <c r="A12" s="481" t="s">
        <v>742</v>
      </c>
      <c r="B12" s="481"/>
      <c r="C12" s="481" t="s">
        <v>1638</v>
      </c>
      <c r="D12" s="481" t="s">
        <v>883</v>
      </c>
      <c r="E12" s="481" t="s">
        <v>884</v>
      </c>
    </row>
    <row r="13" spans="1:5" ht="13.5" thickBot="1" x14ac:dyDescent="0.2">
      <c r="A13" s="482" t="s">
        <v>1644</v>
      </c>
      <c r="B13" s="483"/>
      <c r="C13" s="483"/>
      <c r="D13" s="484"/>
      <c r="E13" s="506"/>
    </row>
    <row r="14" spans="1:5" ht="13.5" thickBot="1" x14ac:dyDescent="0.2">
      <c r="A14" s="482"/>
      <c r="B14" s="483" t="s">
        <v>1645</v>
      </c>
      <c r="C14" s="483" t="s">
        <v>84</v>
      </c>
      <c r="D14" s="484">
        <v>0.43</v>
      </c>
      <c r="E14" s="506">
        <v>0.22</v>
      </c>
    </row>
    <row r="15" spans="1:5" ht="13.5" thickBot="1" x14ac:dyDescent="0.2">
      <c r="A15" s="482"/>
      <c r="B15" s="483" t="s">
        <v>1646</v>
      </c>
      <c r="C15" s="483" t="s">
        <v>84</v>
      </c>
      <c r="D15" s="484">
        <v>0.5</v>
      </c>
      <c r="E15" s="506">
        <v>0.25</v>
      </c>
    </row>
    <row r="16" spans="1:5" ht="13.5" thickBot="1" x14ac:dyDescent="0.2">
      <c r="A16" s="482"/>
      <c r="B16" s="483" t="s">
        <v>1647</v>
      </c>
      <c r="C16" s="483" t="s">
        <v>84</v>
      </c>
      <c r="D16" s="484">
        <v>0.56000000000000005</v>
      </c>
      <c r="E16" s="506">
        <v>0.28000000000000003</v>
      </c>
    </row>
    <row r="17" spans="1:5" ht="37.5" thickBot="1" x14ac:dyDescent="0.2">
      <c r="A17" s="482"/>
      <c r="B17" s="483" t="s">
        <v>1648</v>
      </c>
      <c r="C17" s="483" t="s">
        <v>84</v>
      </c>
      <c r="D17" s="484">
        <v>0.96</v>
      </c>
      <c r="E17" s="506">
        <v>0.28000000000000003</v>
      </c>
    </row>
    <row r="18" spans="1:5" ht="13.5" thickBot="1" x14ac:dyDescent="0.2">
      <c r="A18" s="482"/>
      <c r="B18" s="483" t="s">
        <v>1649</v>
      </c>
      <c r="C18" s="483" t="s">
        <v>84</v>
      </c>
      <c r="D18" s="484">
        <v>0.1</v>
      </c>
      <c r="E18" s="506">
        <v>0.1</v>
      </c>
    </row>
    <row r="19" spans="1:5" ht="13.5" thickBot="1" x14ac:dyDescent="0.2">
      <c r="A19" s="482" t="s">
        <v>1650</v>
      </c>
      <c r="B19" s="483"/>
      <c r="C19" s="483"/>
      <c r="D19" s="483"/>
      <c r="E19" s="485"/>
    </row>
    <row r="20" spans="1:5" ht="13.5" thickBot="1" x14ac:dyDescent="0.2">
      <c r="A20" s="482"/>
      <c r="B20" s="483" t="s">
        <v>1651</v>
      </c>
      <c r="C20" s="483"/>
      <c r="D20" s="483"/>
      <c r="E20" s="485"/>
    </row>
    <row r="21" spans="1:5" ht="13.5" thickBot="1" x14ac:dyDescent="0.2">
      <c r="A21" s="482"/>
      <c r="B21" s="483" t="s">
        <v>1652</v>
      </c>
      <c r="C21" s="483" t="s">
        <v>78</v>
      </c>
      <c r="D21" s="484">
        <v>0.18</v>
      </c>
      <c r="E21" s="506">
        <v>0.18</v>
      </c>
    </row>
    <row r="22" spans="1:5" ht="13.5" thickBot="1" x14ac:dyDescent="0.2">
      <c r="A22" s="482"/>
      <c r="B22" s="483" t="s">
        <v>1653</v>
      </c>
      <c r="C22" s="483" t="s">
        <v>78</v>
      </c>
      <c r="D22" s="484">
        <v>0.28000000000000003</v>
      </c>
      <c r="E22" s="506">
        <v>0.28000000000000003</v>
      </c>
    </row>
    <row r="23" spans="1:5" ht="25.5" thickBot="1" x14ac:dyDescent="0.2">
      <c r="A23" s="482"/>
      <c r="B23" s="483" t="s">
        <v>1654</v>
      </c>
      <c r="C23" s="483"/>
      <c r="D23" s="483"/>
      <c r="E23" s="485"/>
    </row>
    <row r="24" spans="1:5" ht="13.5" thickBot="1" x14ac:dyDescent="0.2">
      <c r="A24" s="482"/>
      <c r="B24" s="483" t="s">
        <v>1655</v>
      </c>
      <c r="C24" s="483" t="s">
        <v>84</v>
      </c>
      <c r="D24" s="484">
        <v>0.45</v>
      </c>
      <c r="E24" s="485"/>
    </row>
    <row r="25" spans="1:5" ht="13.5" thickBot="1" x14ac:dyDescent="0.2">
      <c r="A25" s="482"/>
      <c r="B25" s="483" t="s">
        <v>1653</v>
      </c>
      <c r="C25" s="483" t="s">
        <v>84</v>
      </c>
      <c r="D25" s="484">
        <v>0.55000000000000004</v>
      </c>
      <c r="E25" s="485"/>
    </row>
    <row r="26" spans="1:5" ht="13.5" thickBot="1" x14ac:dyDescent="0.2">
      <c r="A26" s="482"/>
      <c r="B26" s="483" t="s">
        <v>1656</v>
      </c>
      <c r="C26" s="483"/>
      <c r="D26" s="483"/>
      <c r="E26" s="485"/>
    </row>
    <row r="27" spans="1:5" ht="25.5" thickBot="1" x14ac:dyDescent="0.2">
      <c r="A27" s="482"/>
      <c r="B27" s="483" t="s">
        <v>1657</v>
      </c>
      <c r="C27" s="483" t="s">
        <v>78</v>
      </c>
      <c r="D27" s="484">
        <v>0.4</v>
      </c>
      <c r="E27" s="506">
        <v>0.14000000000000001</v>
      </c>
    </row>
    <row r="28" spans="1:5" ht="25.5" thickBot="1" x14ac:dyDescent="0.2">
      <c r="A28" s="482"/>
      <c r="B28" s="483" t="s">
        <v>1658</v>
      </c>
      <c r="C28" s="483" t="s">
        <v>78</v>
      </c>
      <c r="D28" s="484">
        <v>0.54</v>
      </c>
      <c r="E28" s="506">
        <v>0.18</v>
      </c>
    </row>
    <row r="29" spans="1:5" ht="15" thickBot="1" x14ac:dyDescent="0.2">
      <c r="A29" s="468"/>
    </row>
    <row r="30" spans="1:5" ht="15.75" thickBot="1" x14ac:dyDescent="0.25">
      <c r="A30" s="470" t="s">
        <v>913</v>
      </c>
      <c r="B30" s="507" t="s">
        <v>914</v>
      </c>
      <c r="C30" s="507" t="s">
        <v>915</v>
      </c>
      <c r="D30" s="507" t="s">
        <v>916</v>
      </c>
      <c r="E30" s="508" t="s">
        <v>917</v>
      </c>
    </row>
    <row r="31" spans="1:5" ht="13.5" thickBot="1" x14ac:dyDescent="0.2">
      <c r="A31" s="499" t="s">
        <v>1659</v>
      </c>
      <c r="B31" s="506" t="s">
        <v>1488</v>
      </c>
      <c r="C31" s="506" t="s">
        <v>926</v>
      </c>
      <c r="D31" s="506" t="s">
        <v>938</v>
      </c>
      <c r="E31" s="500" t="s">
        <v>927</v>
      </c>
    </row>
    <row r="32" spans="1:5" ht="25.5" thickBot="1" x14ac:dyDescent="0.2">
      <c r="A32" s="499" t="s">
        <v>1660</v>
      </c>
      <c r="B32" s="506" t="s">
        <v>942</v>
      </c>
      <c r="C32" s="506" t="s">
        <v>1187</v>
      </c>
      <c r="D32" s="506" t="s">
        <v>926</v>
      </c>
      <c r="E32" s="500" t="s">
        <v>927</v>
      </c>
    </row>
    <row r="33" spans="1:5" ht="13.5" thickBot="1" x14ac:dyDescent="0.2">
      <c r="A33" s="499" t="s">
        <v>1661</v>
      </c>
      <c r="B33" s="485" t="s">
        <v>1091</v>
      </c>
      <c r="C33" s="506" t="s">
        <v>924</v>
      </c>
      <c r="D33" s="506" t="s">
        <v>931</v>
      </c>
      <c r="E33" s="500" t="s">
        <v>927</v>
      </c>
    </row>
    <row r="34" spans="1:5" ht="25.5" thickBot="1" x14ac:dyDescent="0.2">
      <c r="A34" s="499" t="s">
        <v>1662</v>
      </c>
      <c r="B34" s="506" t="s">
        <v>930</v>
      </c>
      <c r="C34" s="506" t="s">
        <v>959</v>
      </c>
      <c r="D34" s="506" t="s">
        <v>960</v>
      </c>
      <c r="E34" s="500" t="s">
        <v>927</v>
      </c>
    </row>
    <row r="35" spans="1:5" ht="25.5" thickBot="1" x14ac:dyDescent="0.2">
      <c r="A35" s="499" t="s">
        <v>1663</v>
      </c>
      <c r="B35" s="506" t="s">
        <v>942</v>
      </c>
      <c r="C35" s="506" t="s">
        <v>1187</v>
      </c>
      <c r="D35" s="506" t="s">
        <v>931</v>
      </c>
      <c r="E35" s="500" t="s">
        <v>927</v>
      </c>
    </row>
    <row r="36" spans="1:5" ht="25.5" thickBot="1" x14ac:dyDescent="0.2">
      <c r="A36" s="499" t="s">
        <v>1664</v>
      </c>
      <c r="B36" s="506" t="s">
        <v>1091</v>
      </c>
      <c r="C36" s="506" t="s">
        <v>924</v>
      </c>
      <c r="D36" s="506" t="s">
        <v>925</v>
      </c>
      <c r="E36" s="500" t="s">
        <v>927</v>
      </c>
    </row>
    <row r="37" spans="1:5" ht="25.5" thickBot="1" x14ac:dyDescent="0.2">
      <c r="A37" s="499" t="s">
        <v>1665</v>
      </c>
      <c r="B37" s="506" t="s">
        <v>942</v>
      </c>
      <c r="C37" s="506" t="s">
        <v>931</v>
      </c>
      <c r="D37" s="506" t="s">
        <v>960</v>
      </c>
      <c r="E37" s="500" t="s">
        <v>927</v>
      </c>
    </row>
    <row r="38" spans="1:5" ht="25.5" thickBot="1" x14ac:dyDescent="0.2">
      <c r="A38" s="499" t="s">
        <v>1666</v>
      </c>
      <c r="B38" s="506" t="s">
        <v>1091</v>
      </c>
      <c r="C38" s="506" t="s">
        <v>924</v>
      </c>
      <c r="D38" s="506" t="s">
        <v>931</v>
      </c>
      <c r="E38" s="500" t="s">
        <v>927</v>
      </c>
    </row>
    <row r="39" spans="1:5" ht="25.5" thickBot="1" x14ac:dyDescent="0.2">
      <c r="A39" s="499" t="s">
        <v>1667</v>
      </c>
      <c r="B39" s="506" t="s">
        <v>929</v>
      </c>
      <c r="C39" s="506" t="s">
        <v>942</v>
      </c>
      <c r="D39" s="506" t="s">
        <v>1488</v>
      </c>
      <c r="E39" s="500" t="s">
        <v>927</v>
      </c>
    </row>
    <row r="40" spans="1:5" ht="13.5" thickBot="1" x14ac:dyDescent="0.2">
      <c r="A40" s="499" t="s">
        <v>1668</v>
      </c>
      <c r="B40" s="506" t="s">
        <v>937</v>
      </c>
      <c r="C40" s="506" t="s">
        <v>1669</v>
      </c>
      <c r="D40" s="506" t="s">
        <v>937</v>
      </c>
      <c r="E40" s="500" t="s">
        <v>927</v>
      </c>
    </row>
    <row r="41" spans="1:5" ht="13.5" thickBot="1" x14ac:dyDescent="0.2">
      <c r="A41" s="499" t="s">
        <v>1670</v>
      </c>
      <c r="B41" s="506" t="s">
        <v>937</v>
      </c>
      <c r="C41" s="506" t="s">
        <v>1671</v>
      </c>
      <c r="D41" s="506" t="s">
        <v>937</v>
      </c>
      <c r="E41" s="500" t="s">
        <v>927</v>
      </c>
    </row>
    <row r="42" spans="1:5" ht="13.5" thickBot="1" x14ac:dyDescent="0.2">
      <c r="A42" s="509" t="s">
        <v>1672</v>
      </c>
      <c r="B42" s="510" t="s">
        <v>937</v>
      </c>
      <c r="C42" s="510" t="s">
        <v>1673</v>
      </c>
      <c r="D42" s="510" t="s">
        <v>937</v>
      </c>
      <c r="E42" s="511" t="s">
        <v>927</v>
      </c>
    </row>
    <row r="45" spans="1:5" ht="26.25" x14ac:dyDescent="0.15">
      <c r="A45" s="479" t="s">
        <v>1674</v>
      </c>
    </row>
    <row r="46" spans="1:5" ht="15" thickBot="1" x14ac:dyDescent="0.2">
      <c r="A46" s="480"/>
    </row>
    <row r="47" spans="1:5" ht="15.75" thickBot="1" x14ac:dyDescent="0.25">
      <c r="A47" s="470" t="s">
        <v>913</v>
      </c>
      <c r="B47" s="507" t="s">
        <v>914</v>
      </c>
      <c r="C47" s="507" t="s">
        <v>915</v>
      </c>
      <c r="D47" s="507" t="s">
        <v>916</v>
      </c>
      <c r="E47" s="508" t="s">
        <v>917</v>
      </c>
    </row>
    <row r="48" spans="1:5" ht="13.5" thickBot="1" x14ac:dyDescent="0.2">
      <c r="A48" s="499" t="s">
        <v>1675</v>
      </c>
      <c r="B48" s="485" t="s">
        <v>939</v>
      </c>
      <c r="C48" s="506" t="s">
        <v>1101</v>
      </c>
      <c r="D48" s="506" t="s">
        <v>933</v>
      </c>
      <c r="E48" s="500" t="s">
        <v>927</v>
      </c>
    </row>
    <row r="49" spans="1:5" ht="13.5" thickBot="1" x14ac:dyDescent="0.2">
      <c r="A49" s="499" t="s">
        <v>1676</v>
      </c>
      <c r="B49" s="506" t="s">
        <v>1101</v>
      </c>
      <c r="C49" s="506" t="s">
        <v>1094</v>
      </c>
      <c r="D49" s="506" t="s">
        <v>935</v>
      </c>
      <c r="E49" s="500" t="s">
        <v>927</v>
      </c>
    </row>
    <row r="50" spans="1:5" ht="13.5" thickBot="1" x14ac:dyDescent="0.2">
      <c r="A50" s="499" t="s">
        <v>1677</v>
      </c>
      <c r="B50" s="506" t="s">
        <v>937</v>
      </c>
      <c r="C50" s="506" t="s">
        <v>1543</v>
      </c>
      <c r="D50" s="506" t="s">
        <v>937</v>
      </c>
      <c r="E50" s="500" t="s">
        <v>927</v>
      </c>
    </row>
    <row r="51" spans="1:5" ht="13.5" thickBot="1" x14ac:dyDescent="0.2">
      <c r="A51" s="499" t="s">
        <v>1678</v>
      </c>
      <c r="B51" s="506" t="s">
        <v>937</v>
      </c>
      <c r="C51" s="506" t="s">
        <v>1565</v>
      </c>
      <c r="D51" s="506" t="s">
        <v>937</v>
      </c>
      <c r="E51" s="500" t="s">
        <v>927</v>
      </c>
    </row>
    <row r="52" spans="1:5" ht="13.5" thickBot="1" x14ac:dyDescent="0.2">
      <c r="A52" s="509" t="s">
        <v>1679</v>
      </c>
      <c r="B52" s="510" t="s">
        <v>937</v>
      </c>
      <c r="C52" s="510" t="s">
        <v>989</v>
      </c>
      <c r="D52" s="510" t="s">
        <v>937</v>
      </c>
      <c r="E52" s="511" t="s">
        <v>1153</v>
      </c>
    </row>
    <row r="55" spans="1:5" ht="51.75" x14ac:dyDescent="0.35">
      <c r="A55" s="479" t="s">
        <v>1680</v>
      </c>
    </row>
    <row r="56" spans="1:5" ht="15" thickBot="1" x14ac:dyDescent="0.2">
      <c r="A56" s="480"/>
    </row>
    <row r="57" spans="1:5" ht="28.5" thickBot="1" x14ac:dyDescent="0.25">
      <c r="A57" s="494" t="s">
        <v>742</v>
      </c>
      <c r="B57" s="494"/>
      <c r="C57" s="494" t="s">
        <v>882</v>
      </c>
      <c r="D57" s="494" t="s">
        <v>883</v>
      </c>
      <c r="E57" s="494" t="s">
        <v>884</v>
      </c>
    </row>
    <row r="58" spans="1:5" ht="13.5" thickBot="1" x14ac:dyDescent="0.2">
      <c r="A58" s="495" t="s">
        <v>1681</v>
      </c>
      <c r="B58" s="485"/>
      <c r="C58" s="485"/>
      <c r="D58" s="485"/>
      <c r="E58" s="485"/>
    </row>
    <row r="59" spans="1:5" ht="37.5" thickBot="1" x14ac:dyDescent="0.2">
      <c r="A59" s="495"/>
      <c r="B59" s="485" t="s">
        <v>1682</v>
      </c>
      <c r="C59" s="485" t="s">
        <v>84</v>
      </c>
      <c r="D59" s="485">
        <v>0.2</v>
      </c>
      <c r="E59" s="485">
        <v>0.1</v>
      </c>
    </row>
    <row r="60" spans="1:5" ht="13.5" thickBot="1" x14ac:dyDescent="0.2">
      <c r="A60" s="495" t="s">
        <v>1683</v>
      </c>
      <c r="B60" s="485"/>
      <c r="C60" s="485"/>
      <c r="D60" s="485"/>
      <c r="E60" s="485"/>
    </row>
    <row r="61" spans="1:5" ht="13.5" thickBot="1" x14ac:dyDescent="0.2">
      <c r="A61" s="495"/>
      <c r="B61" s="485" t="s">
        <v>6</v>
      </c>
      <c r="C61" s="485" t="s">
        <v>84</v>
      </c>
      <c r="D61" s="485">
        <v>0.25</v>
      </c>
      <c r="E61" s="485">
        <v>0.11</v>
      </c>
    </row>
    <row r="62" spans="1:5" ht="13.5" thickBot="1" x14ac:dyDescent="0.2">
      <c r="A62" s="495"/>
      <c r="B62" s="485" t="s">
        <v>358</v>
      </c>
      <c r="C62" s="485" t="s">
        <v>84</v>
      </c>
      <c r="D62" s="485">
        <v>0.28000000000000003</v>
      </c>
      <c r="E62" s="485">
        <v>0.11</v>
      </c>
    </row>
    <row r="63" spans="1:5" ht="13.5" thickBot="1" x14ac:dyDescent="0.2">
      <c r="A63" s="495"/>
      <c r="B63" s="485" t="s">
        <v>356</v>
      </c>
      <c r="C63" s="485" t="s">
        <v>84</v>
      </c>
      <c r="D63" s="485">
        <v>0.42</v>
      </c>
      <c r="E63" s="485">
        <v>0.18</v>
      </c>
    </row>
    <row r="64" spans="1:5" ht="13.5" thickBot="1" x14ac:dyDescent="0.2">
      <c r="A64" s="495"/>
      <c r="B64" s="485" t="s">
        <v>353</v>
      </c>
      <c r="C64" s="485" t="s">
        <v>84</v>
      </c>
      <c r="D64" s="485">
        <v>0.42</v>
      </c>
      <c r="E64" s="485">
        <v>0.18</v>
      </c>
    </row>
    <row r="65" spans="1:5" ht="13.5" thickBot="1" x14ac:dyDescent="0.2">
      <c r="A65" s="495" t="s">
        <v>1684</v>
      </c>
      <c r="B65" s="485"/>
      <c r="C65" s="485"/>
      <c r="D65" s="485"/>
      <c r="E65" s="485"/>
    </row>
    <row r="66" spans="1:5" ht="13.5" thickBot="1" x14ac:dyDescent="0.2">
      <c r="A66" s="495"/>
      <c r="B66" s="485" t="s">
        <v>6</v>
      </c>
      <c r="C66" s="485" t="s">
        <v>84</v>
      </c>
      <c r="D66" s="485">
        <v>0.42</v>
      </c>
      <c r="E66" s="485">
        <v>0.18</v>
      </c>
    </row>
    <row r="67" spans="1:5" ht="13.5" thickBot="1" x14ac:dyDescent="0.2">
      <c r="A67" s="495"/>
      <c r="B67" s="485" t="s">
        <v>358</v>
      </c>
      <c r="C67" s="485" t="s">
        <v>84</v>
      </c>
      <c r="D67" s="485">
        <v>0.5</v>
      </c>
      <c r="E67" s="485">
        <v>0.2</v>
      </c>
    </row>
    <row r="68" spans="1:5" ht="13.5" thickBot="1" x14ac:dyDescent="0.2">
      <c r="A68" s="495"/>
      <c r="B68" s="485" t="s">
        <v>356</v>
      </c>
      <c r="C68" s="485" t="s">
        <v>84</v>
      </c>
      <c r="D68" s="485">
        <v>0.55000000000000004</v>
      </c>
      <c r="E68" s="485">
        <v>0.25</v>
      </c>
    </row>
    <row r="69" spans="1:5" ht="13.5" thickBot="1" x14ac:dyDescent="0.2">
      <c r="A69" s="495"/>
      <c r="B69" s="485" t="s">
        <v>353</v>
      </c>
      <c r="C69" s="485" t="s">
        <v>84</v>
      </c>
      <c r="D69" s="485">
        <v>0.55000000000000004</v>
      </c>
      <c r="E69" s="485">
        <v>0.25</v>
      </c>
    </row>
    <row r="70" spans="1:5" ht="25.5" thickBot="1" x14ac:dyDescent="0.2">
      <c r="A70" s="495"/>
      <c r="B70" s="485" t="s">
        <v>1685</v>
      </c>
      <c r="C70" s="485" t="s">
        <v>84</v>
      </c>
      <c r="D70" s="485">
        <v>0.22</v>
      </c>
      <c r="E70" s="485">
        <v>0.08</v>
      </c>
    </row>
    <row r="71" spans="1:5" ht="13.5" thickBot="1" x14ac:dyDescent="0.2">
      <c r="A71" s="495"/>
      <c r="B71" s="485" t="s">
        <v>1686</v>
      </c>
      <c r="C71" s="485" t="s">
        <v>78</v>
      </c>
      <c r="D71" s="485">
        <v>0.15</v>
      </c>
      <c r="E71" s="485"/>
    </row>
    <row r="72" spans="1:5" ht="13.5" thickBot="1" x14ac:dyDescent="0.2">
      <c r="A72" s="495"/>
      <c r="B72" s="485" t="s">
        <v>1687</v>
      </c>
      <c r="C72" s="485" t="s">
        <v>78</v>
      </c>
      <c r="D72" s="485">
        <v>0.15</v>
      </c>
      <c r="E72" s="485"/>
    </row>
    <row r="73" spans="1:5" ht="14.25" x14ac:dyDescent="0.15">
      <c r="A73" s="468"/>
    </row>
    <row r="74" spans="1:5" ht="46.5" x14ac:dyDescent="0.35">
      <c r="A74" s="544" t="s">
        <v>1680</v>
      </c>
    </row>
    <row r="75" spans="1:5" ht="15" thickBot="1" x14ac:dyDescent="0.2">
      <c r="A75" s="468"/>
    </row>
    <row r="76" spans="1:5" ht="15.75" thickBot="1" x14ac:dyDescent="0.25">
      <c r="A76" s="496" t="s">
        <v>913</v>
      </c>
      <c r="B76" s="497" t="s">
        <v>914</v>
      </c>
      <c r="C76" s="497" t="s">
        <v>915</v>
      </c>
      <c r="D76" s="497" t="s">
        <v>916</v>
      </c>
      <c r="E76" s="498" t="s">
        <v>917</v>
      </c>
    </row>
    <row r="77" spans="1:5" ht="25.5" thickBot="1" x14ac:dyDescent="0.2">
      <c r="A77" s="499" t="s">
        <v>1688</v>
      </c>
      <c r="B77" s="485" t="s">
        <v>959</v>
      </c>
      <c r="C77" s="485" t="s">
        <v>970</v>
      </c>
      <c r="D77" s="485" t="s">
        <v>1313</v>
      </c>
      <c r="E77" s="500" t="s">
        <v>927</v>
      </c>
    </row>
    <row r="78" spans="1:5" ht="25.5" thickBot="1" x14ac:dyDescent="0.2">
      <c r="A78" s="499" t="s">
        <v>1689</v>
      </c>
      <c r="B78" s="485" t="s">
        <v>931</v>
      </c>
      <c r="C78" s="485" t="s">
        <v>951</v>
      </c>
      <c r="D78" s="485" t="s">
        <v>970</v>
      </c>
      <c r="E78" s="500" t="s">
        <v>927</v>
      </c>
    </row>
    <row r="79" spans="1:5" ht="25.5" thickBot="1" x14ac:dyDescent="0.2">
      <c r="A79" s="499" t="s">
        <v>1690</v>
      </c>
      <c r="B79" s="485" t="s">
        <v>1691</v>
      </c>
      <c r="C79" s="485" t="s">
        <v>1253</v>
      </c>
      <c r="D79" s="485" t="s">
        <v>1179</v>
      </c>
      <c r="E79" s="500" t="s">
        <v>927</v>
      </c>
    </row>
    <row r="80" spans="1:5" ht="25.5" thickBot="1" x14ac:dyDescent="0.2">
      <c r="A80" s="499" t="s">
        <v>1692</v>
      </c>
      <c r="B80" s="485" t="s">
        <v>1377</v>
      </c>
      <c r="C80" s="485" t="s">
        <v>1343</v>
      </c>
      <c r="D80" s="485" t="s">
        <v>1693</v>
      </c>
      <c r="E80" s="500" t="s">
        <v>927</v>
      </c>
    </row>
    <row r="81" spans="1:5" ht="25.5" thickBot="1" x14ac:dyDescent="0.2">
      <c r="A81" s="499" t="s">
        <v>1694</v>
      </c>
      <c r="B81" s="485" t="s">
        <v>1097</v>
      </c>
      <c r="C81" s="485" t="s">
        <v>939</v>
      </c>
      <c r="D81" s="485" t="s">
        <v>957</v>
      </c>
      <c r="E81" s="500" t="s">
        <v>927</v>
      </c>
    </row>
    <row r="82" spans="1:5" ht="13.5" thickBot="1" x14ac:dyDescent="0.2">
      <c r="A82" s="499" t="s">
        <v>1695</v>
      </c>
      <c r="B82" s="485" t="s">
        <v>937</v>
      </c>
      <c r="C82" s="485" t="s">
        <v>1094</v>
      </c>
      <c r="D82" s="485" t="s">
        <v>937</v>
      </c>
      <c r="E82" s="500" t="s">
        <v>922</v>
      </c>
    </row>
    <row r="83" spans="1:5" ht="25.5" thickBot="1" x14ac:dyDescent="0.2">
      <c r="A83" s="499" t="s">
        <v>1696</v>
      </c>
      <c r="B83" s="485" t="s">
        <v>934</v>
      </c>
      <c r="C83" s="485" t="s">
        <v>935</v>
      </c>
      <c r="D83" s="485" t="s">
        <v>962</v>
      </c>
      <c r="E83" s="500" t="s">
        <v>927</v>
      </c>
    </row>
    <row r="84" spans="1:5" ht="25.5" thickBot="1" x14ac:dyDescent="0.2">
      <c r="A84" s="499" t="s">
        <v>1697</v>
      </c>
      <c r="B84" s="485" t="s">
        <v>933</v>
      </c>
      <c r="C84" s="485" t="s">
        <v>934</v>
      </c>
      <c r="D84" s="485" t="s">
        <v>935</v>
      </c>
      <c r="E84" s="500" t="s">
        <v>927</v>
      </c>
    </row>
    <row r="85" spans="1:5" ht="25.5" thickBot="1" x14ac:dyDescent="0.2">
      <c r="A85" s="499" t="s">
        <v>1698</v>
      </c>
      <c r="B85" s="485" t="s">
        <v>1230</v>
      </c>
      <c r="C85" s="485" t="s">
        <v>1699</v>
      </c>
      <c r="D85" s="485" t="s">
        <v>1700</v>
      </c>
      <c r="E85" s="500" t="s">
        <v>927</v>
      </c>
    </row>
    <row r="86" spans="1:5" ht="25.5" thickBot="1" x14ac:dyDescent="0.2">
      <c r="A86" s="499" t="s">
        <v>1701</v>
      </c>
      <c r="B86" s="485" t="s">
        <v>1702</v>
      </c>
      <c r="C86" s="485" t="s">
        <v>1250</v>
      </c>
      <c r="D86" s="485" t="s">
        <v>1703</v>
      </c>
      <c r="E86" s="500" t="s">
        <v>927</v>
      </c>
    </row>
    <row r="87" spans="1:5" ht="25.5" thickBot="1" x14ac:dyDescent="0.2">
      <c r="A87" s="499" t="s">
        <v>1704</v>
      </c>
      <c r="B87" s="485" t="s">
        <v>1169</v>
      </c>
      <c r="C87" s="485" t="s">
        <v>1094</v>
      </c>
      <c r="D87" s="485" t="s">
        <v>933</v>
      </c>
      <c r="E87" s="500" t="s">
        <v>927</v>
      </c>
    </row>
    <row r="88" spans="1:5" ht="13.5" thickBot="1" x14ac:dyDescent="0.2">
      <c r="A88" s="499" t="s">
        <v>1705</v>
      </c>
      <c r="B88" s="485" t="s">
        <v>938</v>
      </c>
      <c r="C88" s="485" t="s">
        <v>1169</v>
      </c>
      <c r="D88" s="485" t="s">
        <v>933</v>
      </c>
      <c r="E88" s="500" t="s">
        <v>927</v>
      </c>
    </row>
    <row r="89" spans="1:5" ht="13.5" thickBot="1" x14ac:dyDescent="0.2">
      <c r="A89" s="499" t="s">
        <v>1706</v>
      </c>
      <c r="B89" s="485" t="s">
        <v>929</v>
      </c>
      <c r="C89" s="485" t="s">
        <v>1092</v>
      </c>
      <c r="D89" s="485" t="s">
        <v>1163</v>
      </c>
      <c r="E89" s="500" t="s">
        <v>927</v>
      </c>
    </row>
    <row r="90" spans="1:5" ht="13.5" thickBot="1" x14ac:dyDescent="0.2">
      <c r="A90" s="509" t="s">
        <v>1707</v>
      </c>
      <c r="B90" s="512" t="s">
        <v>1326</v>
      </c>
      <c r="C90" s="512" t="s">
        <v>938</v>
      </c>
      <c r="D90" s="512" t="s">
        <v>1343</v>
      </c>
      <c r="E90" s="511" t="s">
        <v>927</v>
      </c>
    </row>
    <row r="93" spans="1:5" ht="26.25" x14ac:dyDescent="0.15">
      <c r="A93" s="479" t="s">
        <v>1708</v>
      </c>
    </row>
    <row r="94" spans="1:5" ht="15" thickBot="1" x14ac:dyDescent="0.2">
      <c r="A94" s="480"/>
    </row>
    <row r="95" spans="1:5" ht="15.75" thickBot="1" x14ac:dyDescent="0.25">
      <c r="A95" s="470" t="s">
        <v>913</v>
      </c>
      <c r="B95" s="507" t="s">
        <v>914</v>
      </c>
      <c r="C95" s="507" t="s">
        <v>915</v>
      </c>
      <c r="D95" s="507" t="s">
        <v>916</v>
      </c>
      <c r="E95" s="508" t="s">
        <v>917</v>
      </c>
    </row>
    <row r="96" spans="1:5" ht="13.5" thickBot="1" x14ac:dyDescent="0.2">
      <c r="A96" s="499" t="s">
        <v>1709</v>
      </c>
      <c r="B96" s="506" t="s">
        <v>1158</v>
      </c>
      <c r="C96" s="506" t="s">
        <v>1710</v>
      </c>
      <c r="D96" s="506" t="s">
        <v>1711</v>
      </c>
      <c r="E96" s="500" t="s">
        <v>1386</v>
      </c>
    </row>
    <row r="97" spans="1:5" ht="25.5" thickBot="1" x14ac:dyDescent="0.2">
      <c r="A97" s="499" t="s">
        <v>1712</v>
      </c>
      <c r="B97" s="506" t="s">
        <v>1220</v>
      </c>
      <c r="C97" s="506" t="s">
        <v>1216</v>
      </c>
      <c r="D97" s="506" t="s">
        <v>1179</v>
      </c>
      <c r="E97" s="500" t="s">
        <v>1386</v>
      </c>
    </row>
    <row r="98" spans="1:5" ht="25.5" thickBot="1" x14ac:dyDescent="0.2">
      <c r="A98" s="499" t="s">
        <v>1713</v>
      </c>
      <c r="B98" s="506" t="s">
        <v>1714</v>
      </c>
      <c r="C98" s="506" t="s">
        <v>1715</v>
      </c>
      <c r="D98" s="506" t="s">
        <v>1221</v>
      </c>
      <c r="E98" s="500" t="s">
        <v>1386</v>
      </c>
    </row>
    <row r="99" spans="1:5" ht="25.5" thickBot="1" x14ac:dyDescent="0.2">
      <c r="A99" s="499" t="s">
        <v>1716</v>
      </c>
      <c r="B99" s="506" t="s">
        <v>937</v>
      </c>
      <c r="C99" s="506" t="s">
        <v>1488</v>
      </c>
      <c r="D99" s="506" t="s">
        <v>937</v>
      </c>
      <c r="E99" s="500" t="s">
        <v>1386</v>
      </c>
    </row>
    <row r="100" spans="1:5" ht="13.5" thickBot="1" x14ac:dyDescent="0.2">
      <c r="A100" s="499" t="s">
        <v>1717</v>
      </c>
      <c r="B100" s="506" t="s">
        <v>1714</v>
      </c>
      <c r="C100" s="506" t="s">
        <v>1265</v>
      </c>
      <c r="D100" s="506" t="s">
        <v>1366</v>
      </c>
      <c r="E100" s="500" t="s">
        <v>1386</v>
      </c>
    </row>
    <row r="101" spans="1:5" ht="13.5" thickBot="1" x14ac:dyDescent="0.2">
      <c r="A101" s="499" t="s">
        <v>1718</v>
      </c>
      <c r="B101" s="506" t="s">
        <v>937</v>
      </c>
      <c r="C101" s="506" t="s">
        <v>1212</v>
      </c>
      <c r="D101" s="506" t="s">
        <v>938</v>
      </c>
      <c r="E101" s="500" t="s">
        <v>1386</v>
      </c>
    </row>
    <row r="102" spans="1:5" ht="13.5" thickBot="1" x14ac:dyDescent="0.2">
      <c r="A102" s="499" t="s">
        <v>1719</v>
      </c>
      <c r="B102" s="506" t="s">
        <v>937</v>
      </c>
      <c r="C102" s="506" t="s">
        <v>1101</v>
      </c>
      <c r="D102" s="506" t="s">
        <v>937</v>
      </c>
      <c r="E102" s="500" t="s">
        <v>1386</v>
      </c>
    </row>
    <row r="103" spans="1:5" ht="13.5" thickBot="1" x14ac:dyDescent="0.2">
      <c r="A103" s="499" t="s">
        <v>1720</v>
      </c>
      <c r="B103" s="506" t="s">
        <v>1714</v>
      </c>
      <c r="C103" s="506" t="s">
        <v>1341</v>
      </c>
      <c r="D103" s="506" t="s">
        <v>1174</v>
      </c>
      <c r="E103" s="500" t="s">
        <v>1386</v>
      </c>
    </row>
    <row r="104" spans="1:5" ht="13.5" thickBot="1" x14ac:dyDescent="0.2">
      <c r="A104" s="499" t="s">
        <v>1721</v>
      </c>
      <c r="B104" s="506" t="s">
        <v>937</v>
      </c>
      <c r="C104" s="506" t="s">
        <v>1140</v>
      </c>
      <c r="D104" s="506" t="s">
        <v>937</v>
      </c>
      <c r="E104" s="500" t="s">
        <v>927</v>
      </c>
    </row>
    <row r="105" spans="1:5" ht="13.5" thickBot="1" x14ac:dyDescent="0.2">
      <c r="A105" s="509" t="s">
        <v>1722</v>
      </c>
      <c r="B105" s="510" t="s">
        <v>937</v>
      </c>
      <c r="C105" s="510" t="s">
        <v>929</v>
      </c>
      <c r="D105" s="510" t="s">
        <v>937</v>
      </c>
      <c r="E105" s="511" t="s">
        <v>927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E8"/>
  <sheetViews>
    <sheetView workbookViewId="0">
      <selection activeCell="C6" sqref="C6"/>
    </sheetView>
  </sheetViews>
  <sheetFormatPr defaultRowHeight="12.75" x14ac:dyDescent="0.15"/>
  <cols>
    <col min="1" max="1" width="51.6484375" customWidth="1"/>
  </cols>
  <sheetData>
    <row r="2" spans="1:5" ht="13.5" thickBot="1" x14ac:dyDescent="0.2"/>
    <row r="3" spans="1:5" ht="15.75" thickBot="1" x14ac:dyDescent="0.25">
      <c r="A3" s="470" t="s">
        <v>913</v>
      </c>
      <c r="B3" s="507" t="s">
        <v>914</v>
      </c>
      <c r="C3" s="507" t="s">
        <v>915</v>
      </c>
      <c r="D3" s="507" t="s">
        <v>916</v>
      </c>
      <c r="E3" s="508" t="s">
        <v>917</v>
      </c>
    </row>
    <row r="4" spans="1:5" ht="13.5" thickBot="1" x14ac:dyDescent="0.2">
      <c r="A4" s="524" t="s">
        <v>1723</v>
      </c>
      <c r="B4" s="522" t="s">
        <v>937</v>
      </c>
      <c r="C4" s="522" t="s">
        <v>1443</v>
      </c>
      <c r="D4" s="522" t="s">
        <v>1724</v>
      </c>
      <c r="E4" s="525" t="s">
        <v>1725</v>
      </c>
    </row>
    <row r="5" spans="1:5" ht="13.5" thickBot="1" x14ac:dyDescent="0.2">
      <c r="A5" s="524" t="s">
        <v>1726</v>
      </c>
      <c r="B5" s="522" t="s">
        <v>937</v>
      </c>
      <c r="C5" s="522" t="s">
        <v>1253</v>
      </c>
      <c r="D5" s="522" t="s">
        <v>937</v>
      </c>
      <c r="E5" s="525" t="s">
        <v>1725</v>
      </c>
    </row>
    <row r="6" spans="1:5" ht="13.5" thickBot="1" x14ac:dyDescent="0.2">
      <c r="A6" s="524" t="s">
        <v>1727</v>
      </c>
      <c r="B6" s="522" t="s">
        <v>937</v>
      </c>
      <c r="C6" s="522" t="s">
        <v>938</v>
      </c>
      <c r="D6" s="522" t="s">
        <v>937</v>
      </c>
      <c r="E6" s="525" t="s">
        <v>1728</v>
      </c>
    </row>
    <row r="7" spans="1:5" ht="25.5" thickBot="1" x14ac:dyDescent="0.2">
      <c r="A7" s="524" t="s">
        <v>1729</v>
      </c>
      <c r="B7" s="522" t="s">
        <v>937</v>
      </c>
      <c r="C7" s="522" t="s">
        <v>945</v>
      </c>
      <c r="D7" s="522" t="s">
        <v>937</v>
      </c>
      <c r="E7" s="525" t="s">
        <v>1730</v>
      </c>
    </row>
    <row r="8" spans="1:5" ht="25.5" thickBot="1" x14ac:dyDescent="0.2">
      <c r="A8" s="526" t="s">
        <v>1731</v>
      </c>
      <c r="B8" s="527" t="s">
        <v>937</v>
      </c>
      <c r="C8" s="527" t="s">
        <v>1097</v>
      </c>
      <c r="D8" s="527" t="s">
        <v>937</v>
      </c>
      <c r="E8" s="528" t="s">
        <v>1732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OUTPUT</vt:lpstr>
      <vt:lpstr>EST  CONSTANTS</vt:lpstr>
      <vt:lpstr>FNDTNS</vt:lpstr>
      <vt:lpstr>BWRK</vt:lpstr>
      <vt:lpstr>PLASTER</vt:lpstr>
      <vt:lpstr>SCREED</vt:lpstr>
      <vt:lpstr>PAINTING</vt:lpstr>
      <vt:lpstr>Girth &amp; Opps</vt:lpstr>
      <vt:lpstr>Subie Valuation</vt:lpstr>
      <vt:lpstr>Sheet2</vt:lpstr>
      <vt:lpstr>Sheet3</vt:lpstr>
      <vt:lpstr>Sheet4</vt:lpstr>
      <vt:lpstr>Sheet5</vt:lpstr>
      <vt:lpstr>Sheet1</vt:lpstr>
      <vt:lpstr>Carpentry</vt:lpstr>
      <vt:lpstr>Interior Finishings</vt:lpstr>
      <vt:lpstr>Sheet16</vt:lpstr>
      <vt:lpstr>Sheet17</vt:lpstr>
      <vt:lpstr>Joinery</vt:lpstr>
      <vt:lpstr>Roof and ceiling Framing</vt:lpstr>
      <vt:lpstr>Lifts and Escalators</vt:lpstr>
      <vt:lpstr>Suspended Ceilings</vt:lpstr>
      <vt:lpstr>Tiling</vt:lpstr>
      <vt:lpstr>Floor Coverings</vt:lpstr>
      <vt:lpstr>Glazing</vt:lpstr>
      <vt:lpstr>Wall Papering and Painting</vt:lpstr>
      <vt:lpstr>Plumbing</vt:lpstr>
      <vt:lpstr>Masonry</vt:lpstr>
      <vt:lpstr>Tower cranes</vt:lpstr>
      <vt:lpstr>EST  CONSTANTS!Print_Area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construction</dc:creator>
  <cp:lastModifiedBy>Cosmas Mudekwa</cp:lastModifiedBy>
  <cp:lastPrinted>2015-02-27T14:08:53Z</cp:lastPrinted>
  <dcterms:created xsi:type="dcterms:W3CDTF">2008-02-28T09:25:54Z</dcterms:created>
  <dcterms:modified xsi:type="dcterms:W3CDTF">2019-07-17T14:05:09Z</dcterms:modified>
</cp:coreProperties>
</file>